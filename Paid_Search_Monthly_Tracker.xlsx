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kyes\Projects\understory-marketing-site\"/>
    </mc:Choice>
  </mc:AlternateContent>
  <xr:revisionPtr revIDLastSave="0" documentId="13_ncr:1_{41EA71DD-9AE5-4C73-B5A9-5DBA29368DB3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How to Use" sheetId="1" r:id="rId1"/>
    <sheet name="Config" sheetId="2" r:id="rId2"/>
    <sheet name="Date Mapping" sheetId="3" r:id="rId3"/>
    <sheet name="Campaign Mapping" sheetId="8" r:id="rId4"/>
    <sheet name="Monthly Overview" sheetId="4" r:id="rId5"/>
    <sheet name="Raw Data" sheetId="5" r:id="rId6"/>
    <sheet name="Monthly Metrics" sheetId="6" r:id="rId7"/>
    <sheet name="Reporting" sheetId="7" r:id="rId8"/>
  </sheets>
  <externalReferences>
    <externalReference r:id="rId9"/>
  </externalReferences>
  <definedNames>
    <definedName name="_xlnm._FilterDatabase" localSheetId="3" hidden="1">'Campaign Mapping'!$A$1:$E$503</definedName>
    <definedName name="_xlnm._FilterDatabase" localSheetId="2" hidden="1">'Date Mapping'!$A$23:$F$388</definedName>
    <definedName name="_xlnm._FilterDatabase" localSheetId="5" hidden="1">'Raw Data'!$A$1:$W$200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7" l="1"/>
  <c r="A12" i="7"/>
  <c r="A11" i="7"/>
  <c r="A10" i="7"/>
  <c r="A9" i="7"/>
  <c r="A8" i="7"/>
  <c r="B4" i="7"/>
  <c r="S200" i="5"/>
  <c r="R200" i="5"/>
  <c r="P200" i="5"/>
  <c r="E200" i="5"/>
  <c r="D200" i="5"/>
  <c r="C200" i="5"/>
  <c r="A200" i="5"/>
  <c r="S199" i="5"/>
  <c r="R199" i="5"/>
  <c r="P199" i="5"/>
  <c r="E199" i="5"/>
  <c r="D199" i="5"/>
  <c r="C199" i="5"/>
  <c r="A199" i="5"/>
  <c r="S198" i="5"/>
  <c r="R198" i="5"/>
  <c r="P198" i="5"/>
  <c r="E198" i="5"/>
  <c r="D198" i="5"/>
  <c r="C198" i="5"/>
  <c r="A198" i="5"/>
  <c r="S197" i="5"/>
  <c r="R197" i="5"/>
  <c r="P197" i="5"/>
  <c r="E197" i="5"/>
  <c r="D197" i="5"/>
  <c r="C197" i="5"/>
  <c r="A197" i="5"/>
  <c r="S196" i="5"/>
  <c r="R196" i="5"/>
  <c r="P196" i="5"/>
  <c r="E196" i="5"/>
  <c r="D196" i="5"/>
  <c r="C196" i="5"/>
  <c r="A196" i="5"/>
  <c r="S195" i="5"/>
  <c r="R195" i="5"/>
  <c r="P195" i="5"/>
  <c r="E195" i="5"/>
  <c r="D195" i="5"/>
  <c r="C195" i="5"/>
  <c r="A195" i="5"/>
  <c r="S194" i="5"/>
  <c r="R194" i="5"/>
  <c r="P194" i="5"/>
  <c r="E194" i="5"/>
  <c r="D194" i="5"/>
  <c r="C194" i="5"/>
  <c r="A194" i="5"/>
  <c r="S193" i="5"/>
  <c r="R193" i="5"/>
  <c r="P193" i="5"/>
  <c r="E193" i="5"/>
  <c r="D193" i="5"/>
  <c r="C193" i="5"/>
  <c r="A193" i="5"/>
  <c r="S192" i="5"/>
  <c r="R192" i="5"/>
  <c r="P192" i="5"/>
  <c r="E192" i="5"/>
  <c r="D192" i="5"/>
  <c r="C192" i="5"/>
  <c r="A192" i="5"/>
  <c r="S191" i="5"/>
  <c r="R191" i="5"/>
  <c r="P191" i="5"/>
  <c r="E191" i="5"/>
  <c r="D191" i="5"/>
  <c r="C191" i="5"/>
  <c r="A191" i="5"/>
  <c r="S190" i="5"/>
  <c r="R190" i="5"/>
  <c r="P190" i="5"/>
  <c r="E190" i="5"/>
  <c r="D190" i="5"/>
  <c r="C190" i="5"/>
  <c r="A190" i="5"/>
  <c r="S189" i="5"/>
  <c r="R189" i="5"/>
  <c r="P189" i="5"/>
  <c r="E189" i="5"/>
  <c r="D189" i="5"/>
  <c r="C189" i="5"/>
  <c r="A189" i="5"/>
  <c r="S188" i="5"/>
  <c r="R188" i="5"/>
  <c r="P188" i="5"/>
  <c r="E188" i="5"/>
  <c r="D188" i="5"/>
  <c r="C188" i="5"/>
  <c r="A188" i="5"/>
  <c r="S187" i="5"/>
  <c r="R187" i="5"/>
  <c r="P187" i="5"/>
  <c r="E187" i="5"/>
  <c r="D187" i="5"/>
  <c r="C187" i="5"/>
  <c r="A187" i="5"/>
  <c r="S186" i="5"/>
  <c r="R186" i="5"/>
  <c r="P186" i="5"/>
  <c r="E186" i="5"/>
  <c r="D186" i="5"/>
  <c r="C186" i="5"/>
  <c r="A186" i="5"/>
  <c r="S185" i="5"/>
  <c r="R185" i="5"/>
  <c r="P185" i="5"/>
  <c r="E185" i="5"/>
  <c r="D185" i="5"/>
  <c r="C185" i="5"/>
  <c r="A185" i="5"/>
  <c r="S184" i="5"/>
  <c r="R184" i="5"/>
  <c r="P184" i="5"/>
  <c r="E184" i="5"/>
  <c r="D184" i="5"/>
  <c r="C184" i="5"/>
  <c r="A184" i="5"/>
  <c r="S183" i="5"/>
  <c r="R183" i="5"/>
  <c r="P183" i="5"/>
  <c r="E183" i="5"/>
  <c r="D183" i="5"/>
  <c r="C183" i="5"/>
  <c r="A183" i="5"/>
  <c r="S182" i="5"/>
  <c r="R182" i="5"/>
  <c r="P182" i="5"/>
  <c r="E182" i="5"/>
  <c r="D182" i="5"/>
  <c r="C182" i="5"/>
  <c r="A182" i="5"/>
  <c r="S181" i="5"/>
  <c r="R181" i="5"/>
  <c r="P181" i="5"/>
  <c r="E181" i="5"/>
  <c r="D181" i="5"/>
  <c r="C181" i="5"/>
  <c r="A181" i="5"/>
  <c r="S180" i="5"/>
  <c r="R180" i="5"/>
  <c r="P180" i="5"/>
  <c r="E180" i="5"/>
  <c r="D180" i="5"/>
  <c r="C180" i="5"/>
  <c r="A180" i="5"/>
  <c r="S179" i="5"/>
  <c r="R179" i="5"/>
  <c r="P179" i="5"/>
  <c r="E179" i="5"/>
  <c r="D179" i="5"/>
  <c r="C179" i="5"/>
  <c r="A179" i="5"/>
  <c r="S178" i="5"/>
  <c r="R178" i="5"/>
  <c r="P178" i="5"/>
  <c r="E178" i="5"/>
  <c r="D178" i="5"/>
  <c r="C178" i="5"/>
  <c r="A178" i="5"/>
  <c r="S177" i="5"/>
  <c r="R177" i="5"/>
  <c r="P177" i="5"/>
  <c r="E177" i="5"/>
  <c r="D177" i="5"/>
  <c r="C177" i="5"/>
  <c r="A177" i="5"/>
  <c r="S176" i="5"/>
  <c r="R176" i="5"/>
  <c r="P176" i="5"/>
  <c r="E176" i="5"/>
  <c r="D176" i="5"/>
  <c r="C176" i="5"/>
  <c r="A176" i="5"/>
  <c r="S175" i="5"/>
  <c r="R175" i="5"/>
  <c r="P175" i="5"/>
  <c r="E175" i="5"/>
  <c r="D175" i="5"/>
  <c r="C175" i="5"/>
  <c r="A175" i="5"/>
  <c r="S174" i="5"/>
  <c r="R174" i="5"/>
  <c r="P174" i="5"/>
  <c r="E174" i="5"/>
  <c r="D174" i="5"/>
  <c r="C174" i="5"/>
  <c r="A174" i="5"/>
  <c r="S173" i="5"/>
  <c r="R173" i="5"/>
  <c r="P173" i="5"/>
  <c r="E173" i="5"/>
  <c r="D173" i="5"/>
  <c r="C173" i="5"/>
  <c r="A173" i="5"/>
  <c r="S172" i="5"/>
  <c r="R172" i="5"/>
  <c r="P172" i="5"/>
  <c r="E172" i="5"/>
  <c r="D172" i="5"/>
  <c r="C172" i="5"/>
  <c r="A172" i="5"/>
  <c r="S171" i="5"/>
  <c r="R171" i="5"/>
  <c r="P171" i="5"/>
  <c r="E171" i="5"/>
  <c r="D171" i="5"/>
  <c r="C171" i="5"/>
  <c r="A171" i="5"/>
  <c r="S170" i="5"/>
  <c r="R170" i="5"/>
  <c r="P170" i="5"/>
  <c r="E170" i="5"/>
  <c r="D170" i="5"/>
  <c r="C170" i="5"/>
  <c r="A170" i="5"/>
  <c r="S169" i="5"/>
  <c r="R169" i="5"/>
  <c r="P169" i="5"/>
  <c r="E169" i="5"/>
  <c r="D169" i="5"/>
  <c r="C169" i="5"/>
  <c r="A169" i="5"/>
  <c r="S168" i="5"/>
  <c r="R168" i="5"/>
  <c r="P168" i="5"/>
  <c r="E168" i="5"/>
  <c r="D168" i="5"/>
  <c r="C168" i="5"/>
  <c r="A168" i="5"/>
  <c r="S167" i="5"/>
  <c r="R167" i="5"/>
  <c r="P167" i="5"/>
  <c r="E167" i="5"/>
  <c r="D167" i="5"/>
  <c r="C167" i="5"/>
  <c r="A167" i="5"/>
  <c r="S166" i="5"/>
  <c r="R166" i="5"/>
  <c r="P166" i="5"/>
  <c r="E166" i="5"/>
  <c r="D166" i="5"/>
  <c r="C166" i="5"/>
  <c r="A166" i="5"/>
  <c r="S165" i="5"/>
  <c r="R165" i="5"/>
  <c r="P165" i="5"/>
  <c r="E165" i="5"/>
  <c r="D165" i="5"/>
  <c r="C165" i="5"/>
  <c r="A165" i="5"/>
  <c r="S164" i="5"/>
  <c r="R164" i="5"/>
  <c r="P164" i="5"/>
  <c r="E164" i="5"/>
  <c r="D164" i="5"/>
  <c r="C164" i="5"/>
  <c r="A164" i="5"/>
  <c r="S163" i="5"/>
  <c r="R163" i="5"/>
  <c r="P163" i="5"/>
  <c r="E163" i="5"/>
  <c r="D163" i="5"/>
  <c r="C163" i="5"/>
  <c r="A163" i="5"/>
  <c r="S162" i="5"/>
  <c r="R162" i="5"/>
  <c r="P162" i="5"/>
  <c r="E162" i="5"/>
  <c r="D162" i="5"/>
  <c r="C162" i="5"/>
  <c r="A162" i="5"/>
  <c r="S161" i="5"/>
  <c r="R161" i="5"/>
  <c r="P161" i="5"/>
  <c r="E161" i="5"/>
  <c r="D161" i="5"/>
  <c r="C161" i="5"/>
  <c r="A161" i="5"/>
  <c r="S160" i="5"/>
  <c r="R160" i="5"/>
  <c r="P160" i="5"/>
  <c r="E160" i="5"/>
  <c r="D160" i="5"/>
  <c r="C160" i="5"/>
  <c r="A160" i="5"/>
  <c r="S159" i="5"/>
  <c r="R159" i="5"/>
  <c r="P159" i="5"/>
  <c r="E159" i="5"/>
  <c r="D159" i="5"/>
  <c r="C159" i="5"/>
  <c r="A159" i="5"/>
  <c r="S158" i="5"/>
  <c r="R158" i="5"/>
  <c r="P158" i="5"/>
  <c r="E158" i="5"/>
  <c r="D158" i="5"/>
  <c r="C158" i="5"/>
  <c r="A158" i="5"/>
  <c r="S157" i="5"/>
  <c r="R157" i="5"/>
  <c r="P157" i="5"/>
  <c r="E157" i="5"/>
  <c r="D157" i="5"/>
  <c r="C157" i="5"/>
  <c r="A157" i="5"/>
  <c r="S156" i="5"/>
  <c r="R156" i="5"/>
  <c r="P156" i="5"/>
  <c r="E156" i="5"/>
  <c r="D156" i="5"/>
  <c r="C156" i="5"/>
  <c r="A156" i="5"/>
  <c r="S155" i="5"/>
  <c r="R155" i="5"/>
  <c r="P155" i="5"/>
  <c r="E155" i="5"/>
  <c r="D155" i="5"/>
  <c r="C155" i="5"/>
  <c r="A155" i="5"/>
  <c r="S154" i="5"/>
  <c r="R154" i="5"/>
  <c r="P154" i="5"/>
  <c r="E154" i="5"/>
  <c r="D154" i="5"/>
  <c r="C154" i="5"/>
  <c r="A154" i="5"/>
  <c r="S153" i="5"/>
  <c r="R153" i="5"/>
  <c r="P153" i="5"/>
  <c r="E153" i="5"/>
  <c r="D153" i="5"/>
  <c r="C153" i="5"/>
  <c r="A153" i="5"/>
  <c r="S152" i="5"/>
  <c r="R152" i="5"/>
  <c r="P152" i="5"/>
  <c r="E152" i="5"/>
  <c r="D152" i="5"/>
  <c r="C152" i="5"/>
  <c r="A152" i="5"/>
  <c r="S151" i="5"/>
  <c r="R151" i="5"/>
  <c r="P151" i="5"/>
  <c r="E151" i="5"/>
  <c r="D151" i="5"/>
  <c r="C151" i="5"/>
  <c r="A151" i="5"/>
  <c r="S150" i="5"/>
  <c r="R150" i="5"/>
  <c r="P150" i="5"/>
  <c r="E150" i="5"/>
  <c r="D150" i="5"/>
  <c r="C150" i="5"/>
  <c r="A150" i="5"/>
  <c r="S149" i="5"/>
  <c r="R149" i="5"/>
  <c r="P149" i="5"/>
  <c r="E149" i="5"/>
  <c r="D149" i="5"/>
  <c r="C149" i="5"/>
  <c r="A149" i="5"/>
  <c r="S148" i="5"/>
  <c r="R148" i="5"/>
  <c r="P148" i="5"/>
  <c r="E148" i="5"/>
  <c r="D148" i="5"/>
  <c r="C148" i="5"/>
  <c r="A148" i="5"/>
  <c r="S147" i="5"/>
  <c r="R147" i="5"/>
  <c r="P147" i="5"/>
  <c r="E147" i="5"/>
  <c r="D147" i="5"/>
  <c r="C147" i="5"/>
  <c r="A147" i="5"/>
  <c r="S146" i="5"/>
  <c r="R146" i="5"/>
  <c r="P146" i="5"/>
  <c r="E146" i="5"/>
  <c r="D146" i="5"/>
  <c r="C146" i="5"/>
  <c r="A146" i="5"/>
  <c r="S145" i="5"/>
  <c r="R145" i="5"/>
  <c r="P145" i="5"/>
  <c r="E145" i="5"/>
  <c r="D145" i="5"/>
  <c r="C145" i="5"/>
  <c r="A145" i="5"/>
  <c r="S144" i="5"/>
  <c r="R144" i="5"/>
  <c r="P144" i="5"/>
  <c r="E144" i="5"/>
  <c r="D144" i="5"/>
  <c r="C144" i="5"/>
  <c r="A144" i="5"/>
  <c r="S143" i="5"/>
  <c r="R143" i="5"/>
  <c r="P143" i="5"/>
  <c r="E143" i="5"/>
  <c r="D143" i="5"/>
  <c r="C143" i="5"/>
  <c r="A143" i="5"/>
  <c r="S142" i="5"/>
  <c r="R142" i="5"/>
  <c r="P142" i="5"/>
  <c r="E142" i="5"/>
  <c r="D142" i="5"/>
  <c r="C142" i="5"/>
  <c r="A142" i="5"/>
  <c r="S141" i="5"/>
  <c r="R141" i="5"/>
  <c r="P141" i="5"/>
  <c r="E141" i="5"/>
  <c r="D141" i="5"/>
  <c r="C141" i="5"/>
  <c r="A141" i="5"/>
  <c r="S140" i="5"/>
  <c r="R140" i="5"/>
  <c r="P140" i="5"/>
  <c r="E140" i="5"/>
  <c r="D140" i="5"/>
  <c r="C140" i="5"/>
  <c r="A140" i="5"/>
  <c r="S139" i="5"/>
  <c r="R139" i="5"/>
  <c r="P139" i="5"/>
  <c r="E139" i="5"/>
  <c r="D139" i="5"/>
  <c r="C139" i="5"/>
  <c r="A139" i="5"/>
  <c r="S138" i="5"/>
  <c r="R138" i="5"/>
  <c r="P138" i="5"/>
  <c r="E138" i="5"/>
  <c r="D138" i="5"/>
  <c r="C138" i="5"/>
  <c r="A138" i="5"/>
  <c r="S137" i="5"/>
  <c r="R137" i="5"/>
  <c r="P137" i="5"/>
  <c r="E137" i="5"/>
  <c r="D137" i="5"/>
  <c r="C137" i="5"/>
  <c r="A137" i="5"/>
  <c r="S136" i="5"/>
  <c r="R136" i="5"/>
  <c r="P136" i="5"/>
  <c r="E136" i="5"/>
  <c r="D136" i="5"/>
  <c r="C136" i="5"/>
  <c r="A136" i="5"/>
  <c r="S135" i="5"/>
  <c r="R135" i="5"/>
  <c r="P135" i="5"/>
  <c r="E135" i="5"/>
  <c r="D135" i="5"/>
  <c r="C135" i="5"/>
  <c r="A135" i="5"/>
  <c r="S134" i="5"/>
  <c r="R134" i="5"/>
  <c r="P134" i="5"/>
  <c r="E134" i="5"/>
  <c r="D134" i="5"/>
  <c r="C134" i="5"/>
  <c r="A134" i="5"/>
  <c r="S133" i="5"/>
  <c r="R133" i="5"/>
  <c r="P133" i="5"/>
  <c r="E133" i="5"/>
  <c r="D133" i="5"/>
  <c r="C133" i="5"/>
  <c r="A133" i="5"/>
  <c r="S132" i="5"/>
  <c r="R132" i="5"/>
  <c r="P132" i="5"/>
  <c r="E132" i="5"/>
  <c r="D132" i="5"/>
  <c r="C132" i="5"/>
  <c r="A132" i="5"/>
  <c r="S131" i="5"/>
  <c r="R131" i="5"/>
  <c r="P131" i="5"/>
  <c r="E131" i="5"/>
  <c r="D131" i="5"/>
  <c r="C131" i="5"/>
  <c r="A131" i="5"/>
  <c r="S130" i="5"/>
  <c r="R130" i="5"/>
  <c r="P130" i="5"/>
  <c r="E130" i="5"/>
  <c r="D130" i="5"/>
  <c r="C130" i="5"/>
  <c r="A130" i="5"/>
  <c r="S129" i="5"/>
  <c r="R129" i="5"/>
  <c r="P129" i="5"/>
  <c r="E129" i="5"/>
  <c r="D129" i="5"/>
  <c r="C129" i="5"/>
  <c r="A129" i="5"/>
  <c r="S128" i="5"/>
  <c r="R128" i="5"/>
  <c r="P128" i="5"/>
  <c r="E128" i="5"/>
  <c r="D128" i="5"/>
  <c r="C128" i="5"/>
  <c r="A128" i="5"/>
  <c r="S127" i="5"/>
  <c r="R127" i="5"/>
  <c r="P127" i="5"/>
  <c r="E127" i="5"/>
  <c r="D127" i="5"/>
  <c r="C127" i="5"/>
  <c r="A127" i="5"/>
  <c r="S126" i="5"/>
  <c r="R126" i="5"/>
  <c r="P126" i="5"/>
  <c r="E126" i="5"/>
  <c r="D126" i="5"/>
  <c r="C126" i="5"/>
  <c r="A126" i="5"/>
  <c r="S125" i="5"/>
  <c r="R125" i="5"/>
  <c r="P125" i="5"/>
  <c r="E125" i="5"/>
  <c r="D125" i="5"/>
  <c r="C125" i="5"/>
  <c r="A125" i="5"/>
  <c r="S124" i="5"/>
  <c r="R124" i="5"/>
  <c r="P124" i="5"/>
  <c r="E124" i="5"/>
  <c r="D124" i="5"/>
  <c r="C124" i="5"/>
  <c r="A124" i="5"/>
  <c r="S123" i="5"/>
  <c r="R123" i="5"/>
  <c r="P123" i="5"/>
  <c r="E123" i="5"/>
  <c r="D123" i="5"/>
  <c r="C123" i="5"/>
  <c r="A123" i="5"/>
  <c r="S122" i="5"/>
  <c r="R122" i="5"/>
  <c r="P122" i="5"/>
  <c r="E122" i="5"/>
  <c r="D122" i="5"/>
  <c r="C122" i="5"/>
  <c r="A122" i="5"/>
  <c r="S121" i="5"/>
  <c r="R121" i="5"/>
  <c r="P121" i="5"/>
  <c r="E121" i="5"/>
  <c r="D121" i="5"/>
  <c r="C121" i="5"/>
  <c r="A121" i="5"/>
  <c r="S120" i="5"/>
  <c r="R120" i="5"/>
  <c r="P120" i="5"/>
  <c r="E120" i="5"/>
  <c r="D120" i="5"/>
  <c r="C120" i="5"/>
  <c r="A120" i="5"/>
  <c r="S119" i="5"/>
  <c r="R119" i="5"/>
  <c r="P119" i="5"/>
  <c r="E119" i="5"/>
  <c r="D119" i="5"/>
  <c r="C119" i="5"/>
  <c r="A119" i="5"/>
  <c r="S118" i="5"/>
  <c r="R118" i="5"/>
  <c r="P118" i="5"/>
  <c r="E118" i="5"/>
  <c r="D118" i="5"/>
  <c r="C118" i="5"/>
  <c r="A118" i="5"/>
  <c r="S117" i="5"/>
  <c r="R117" i="5"/>
  <c r="P117" i="5"/>
  <c r="E117" i="5"/>
  <c r="D117" i="5"/>
  <c r="C117" i="5"/>
  <c r="A117" i="5"/>
  <c r="S116" i="5"/>
  <c r="R116" i="5"/>
  <c r="P116" i="5"/>
  <c r="E116" i="5"/>
  <c r="D116" i="5"/>
  <c r="C116" i="5"/>
  <c r="A116" i="5"/>
  <c r="S115" i="5"/>
  <c r="R115" i="5"/>
  <c r="P115" i="5"/>
  <c r="E115" i="5"/>
  <c r="D115" i="5"/>
  <c r="C115" i="5"/>
  <c r="A115" i="5"/>
  <c r="S114" i="5"/>
  <c r="R114" i="5"/>
  <c r="P114" i="5"/>
  <c r="E114" i="5"/>
  <c r="D114" i="5"/>
  <c r="C114" i="5"/>
  <c r="A114" i="5"/>
  <c r="S113" i="5"/>
  <c r="R113" i="5"/>
  <c r="P113" i="5"/>
  <c r="E113" i="5"/>
  <c r="D113" i="5"/>
  <c r="C113" i="5"/>
  <c r="A113" i="5"/>
  <c r="S112" i="5"/>
  <c r="R112" i="5"/>
  <c r="P112" i="5"/>
  <c r="E112" i="5"/>
  <c r="D112" i="5"/>
  <c r="C112" i="5"/>
  <c r="A112" i="5"/>
  <c r="S111" i="5"/>
  <c r="R111" i="5"/>
  <c r="P111" i="5"/>
  <c r="E111" i="5"/>
  <c r="D111" i="5"/>
  <c r="C111" i="5"/>
  <c r="A111" i="5"/>
  <c r="S110" i="5"/>
  <c r="R110" i="5"/>
  <c r="P110" i="5"/>
  <c r="E110" i="5"/>
  <c r="D110" i="5"/>
  <c r="C110" i="5"/>
  <c r="A110" i="5"/>
  <c r="S109" i="5"/>
  <c r="R109" i="5"/>
  <c r="P109" i="5"/>
  <c r="E109" i="5"/>
  <c r="D109" i="5"/>
  <c r="C109" i="5"/>
  <c r="A109" i="5"/>
  <c r="S108" i="5"/>
  <c r="R108" i="5"/>
  <c r="P108" i="5"/>
  <c r="E108" i="5"/>
  <c r="D108" i="5"/>
  <c r="C108" i="5"/>
  <c r="A108" i="5"/>
  <c r="S107" i="5"/>
  <c r="R107" i="5"/>
  <c r="P107" i="5"/>
  <c r="E107" i="5"/>
  <c r="D107" i="5"/>
  <c r="C107" i="5"/>
  <c r="A107" i="5"/>
  <c r="S106" i="5"/>
  <c r="R106" i="5"/>
  <c r="P106" i="5"/>
  <c r="E106" i="5"/>
  <c r="D106" i="5"/>
  <c r="C106" i="5"/>
  <c r="A106" i="5"/>
  <c r="S105" i="5"/>
  <c r="R105" i="5"/>
  <c r="P105" i="5"/>
  <c r="E105" i="5"/>
  <c r="D105" i="5"/>
  <c r="C105" i="5"/>
  <c r="A105" i="5"/>
  <c r="S104" i="5"/>
  <c r="R104" i="5"/>
  <c r="P104" i="5"/>
  <c r="E104" i="5"/>
  <c r="D104" i="5"/>
  <c r="C104" i="5"/>
  <c r="A104" i="5"/>
  <c r="S103" i="5"/>
  <c r="R103" i="5"/>
  <c r="P103" i="5"/>
  <c r="E103" i="5"/>
  <c r="D103" i="5"/>
  <c r="C103" i="5"/>
  <c r="A103" i="5"/>
  <c r="S102" i="5"/>
  <c r="R102" i="5"/>
  <c r="P102" i="5"/>
  <c r="E102" i="5"/>
  <c r="D102" i="5"/>
  <c r="C102" i="5"/>
  <c r="A102" i="5"/>
  <c r="S101" i="5"/>
  <c r="R101" i="5"/>
  <c r="P101" i="5"/>
  <c r="E101" i="5"/>
  <c r="D101" i="5"/>
  <c r="C101" i="5"/>
  <c r="A101" i="5"/>
  <c r="S100" i="5"/>
  <c r="R100" i="5"/>
  <c r="P100" i="5"/>
  <c r="E100" i="5"/>
  <c r="D100" i="5"/>
  <c r="C100" i="5"/>
  <c r="A100" i="5"/>
  <c r="S99" i="5"/>
  <c r="R99" i="5"/>
  <c r="P99" i="5"/>
  <c r="E99" i="5"/>
  <c r="D99" i="5"/>
  <c r="C99" i="5"/>
  <c r="A99" i="5"/>
  <c r="S98" i="5"/>
  <c r="R98" i="5"/>
  <c r="P98" i="5"/>
  <c r="E98" i="5"/>
  <c r="D98" i="5"/>
  <c r="C98" i="5"/>
  <c r="A98" i="5"/>
  <c r="S97" i="5"/>
  <c r="R97" i="5"/>
  <c r="P97" i="5"/>
  <c r="E97" i="5"/>
  <c r="D97" i="5"/>
  <c r="C97" i="5"/>
  <c r="A97" i="5"/>
  <c r="S96" i="5"/>
  <c r="R96" i="5"/>
  <c r="P96" i="5"/>
  <c r="E96" i="5"/>
  <c r="D96" i="5"/>
  <c r="C96" i="5"/>
  <c r="A96" i="5"/>
  <c r="S95" i="5"/>
  <c r="R95" i="5"/>
  <c r="P95" i="5"/>
  <c r="E95" i="5"/>
  <c r="D95" i="5"/>
  <c r="C95" i="5"/>
  <c r="A95" i="5"/>
  <c r="S94" i="5"/>
  <c r="R94" i="5"/>
  <c r="P94" i="5"/>
  <c r="E94" i="5"/>
  <c r="D94" i="5"/>
  <c r="C94" i="5"/>
  <c r="A94" i="5"/>
  <c r="S93" i="5"/>
  <c r="R93" i="5"/>
  <c r="P93" i="5"/>
  <c r="E93" i="5"/>
  <c r="D93" i="5"/>
  <c r="C93" i="5"/>
  <c r="A93" i="5"/>
  <c r="S92" i="5"/>
  <c r="R92" i="5"/>
  <c r="P92" i="5"/>
  <c r="E92" i="5"/>
  <c r="D92" i="5"/>
  <c r="C92" i="5"/>
  <c r="A92" i="5"/>
  <c r="S91" i="5"/>
  <c r="R91" i="5"/>
  <c r="P91" i="5"/>
  <c r="E91" i="5"/>
  <c r="D91" i="5"/>
  <c r="C91" i="5"/>
  <c r="A91" i="5"/>
  <c r="S90" i="5"/>
  <c r="R90" i="5"/>
  <c r="P90" i="5"/>
  <c r="E90" i="5"/>
  <c r="D90" i="5"/>
  <c r="C90" i="5"/>
  <c r="A90" i="5"/>
  <c r="S89" i="5"/>
  <c r="R89" i="5"/>
  <c r="P89" i="5"/>
  <c r="E89" i="5"/>
  <c r="D89" i="5"/>
  <c r="C89" i="5"/>
  <c r="A89" i="5"/>
  <c r="S88" i="5"/>
  <c r="R88" i="5"/>
  <c r="P88" i="5"/>
  <c r="E88" i="5"/>
  <c r="D88" i="5"/>
  <c r="C88" i="5"/>
  <c r="A88" i="5"/>
  <c r="S87" i="5"/>
  <c r="R87" i="5"/>
  <c r="P87" i="5"/>
  <c r="E87" i="5"/>
  <c r="D87" i="5"/>
  <c r="C87" i="5"/>
  <c r="A87" i="5"/>
  <c r="S86" i="5"/>
  <c r="R86" i="5"/>
  <c r="P86" i="5"/>
  <c r="E86" i="5"/>
  <c r="D86" i="5"/>
  <c r="C86" i="5"/>
  <c r="A86" i="5"/>
  <c r="S85" i="5"/>
  <c r="R85" i="5"/>
  <c r="P85" i="5"/>
  <c r="E85" i="5"/>
  <c r="D85" i="5"/>
  <c r="C85" i="5"/>
  <c r="A85" i="5"/>
  <c r="S84" i="5"/>
  <c r="R84" i="5"/>
  <c r="P84" i="5"/>
  <c r="E84" i="5"/>
  <c r="D84" i="5"/>
  <c r="C84" i="5"/>
  <c r="A84" i="5"/>
  <c r="S83" i="5"/>
  <c r="R83" i="5"/>
  <c r="P83" i="5"/>
  <c r="E83" i="5"/>
  <c r="D83" i="5"/>
  <c r="C83" i="5"/>
  <c r="A83" i="5"/>
  <c r="S82" i="5"/>
  <c r="R82" i="5"/>
  <c r="P82" i="5"/>
  <c r="E82" i="5"/>
  <c r="D82" i="5"/>
  <c r="C82" i="5"/>
  <c r="A82" i="5"/>
  <c r="S81" i="5"/>
  <c r="R81" i="5"/>
  <c r="P81" i="5"/>
  <c r="E81" i="5"/>
  <c r="D81" i="5"/>
  <c r="C81" i="5"/>
  <c r="A81" i="5"/>
  <c r="S80" i="5"/>
  <c r="R80" i="5"/>
  <c r="P80" i="5"/>
  <c r="E80" i="5"/>
  <c r="D80" i="5"/>
  <c r="C80" i="5"/>
  <c r="A80" i="5"/>
  <c r="S79" i="5"/>
  <c r="R79" i="5"/>
  <c r="P79" i="5"/>
  <c r="E79" i="5"/>
  <c r="D79" i="5"/>
  <c r="C79" i="5"/>
  <c r="A79" i="5"/>
  <c r="S78" i="5"/>
  <c r="R78" i="5"/>
  <c r="P78" i="5"/>
  <c r="E78" i="5"/>
  <c r="D78" i="5"/>
  <c r="C78" i="5"/>
  <c r="A78" i="5"/>
  <c r="S77" i="5"/>
  <c r="R77" i="5"/>
  <c r="P77" i="5"/>
  <c r="E77" i="5"/>
  <c r="D77" i="5"/>
  <c r="C77" i="5"/>
  <c r="A77" i="5"/>
  <c r="S76" i="5"/>
  <c r="R76" i="5"/>
  <c r="P76" i="5"/>
  <c r="E76" i="5"/>
  <c r="D76" i="5"/>
  <c r="C76" i="5"/>
  <c r="A76" i="5"/>
  <c r="S75" i="5"/>
  <c r="R75" i="5"/>
  <c r="P75" i="5"/>
  <c r="E75" i="5"/>
  <c r="D75" i="5"/>
  <c r="C75" i="5"/>
  <c r="A75" i="5"/>
  <c r="S74" i="5"/>
  <c r="R74" i="5"/>
  <c r="P74" i="5"/>
  <c r="E74" i="5"/>
  <c r="D74" i="5"/>
  <c r="C74" i="5"/>
  <c r="A74" i="5"/>
  <c r="S73" i="5"/>
  <c r="R73" i="5"/>
  <c r="P73" i="5"/>
  <c r="E73" i="5"/>
  <c r="D73" i="5"/>
  <c r="C73" i="5"/>
  <c r="A73" i="5"/>
  <c r="S72" i="5"/>
  <c r="R72" i="5"/>
  <c r="P72" i="5"/>
  <c r="E72" i="5"/>
  <c r="D72" i="5"/>
  <c r="C72" i="5"/>
  <c r="A72" i="5"/>
  <c r="S71" i="5"/>
  <c r="R71" i="5"/>
  <c r="P71" i="5"/>
  <c r="E71" i="5"/>
  <c r="D71" i="5"/>
  <c r="C71" i="5"/>
  <c r="A71" i="5"/>
  <c r="S70" i="5"/>
  <c r="R70" i="5"/>
  <c r="P70" i="5"/>
  <c r="E70" i="5"/>
  <c r="D70" i="5"/>
  <c r="C70" i="5"/>
  <c r="A70" i="5"/>
  <c r="S69" i="5"/>
  <c r="R69" i="5"/>
  <c r="P69" i="5"/>
  <c r="E69" i="5"/>
  <c r="D69" i="5"/>
  <c r="C69" i="5"/>
  <c r="A69" i="5"/>
  <c r="S68" i="5"/>
  <c r="R68" i="5"/>
  <c r="P68" i="5"/>
  <c r="E68" i="5"/>
  <c r="D68" i="5"/>
  <c r="C68" i="5"/>
  <c r="A68" i="5"/>
  <c r="S67" i="5"/>
  <c r="R67" i="5"/>
  <c r="P67" i="5"/>
  <c r="E67" i="5"/>
  <c r="D67" i="5"/>
  <c r="C67" i="5"/>
  <c r="A67" i="5"/>
  <c r="S66" i="5"/>
  <c r="R66" i="5"/>
  <c r="P66" i="5"/>
  <c r="E66" i="5"/>
  <c r="D66" i="5"/>
  <c r="C66" i="5"/>
  <c r="A66" i="5"/>
  <c r="S65" i="5"/>
  <c r="R65" i="5"/>
  <c r="P65" i="5"/>
  <c r="E65" i="5"/>
  <c r="D65" i="5"/>
  <c r="C65" i="5"/>
  <c r="A65" i="5"/>
  <c r="S64" i="5"/>
  <c r="R64" i="5"/>
  <c r="P64" i="5"/>
  <c r="E64" i="5"/>
  <c r="D64" i="5"/>
  <c r="C64" i="5"/>
  <c r="A64" i="5"/>
  <c r="S63" i="5"/>
  <c r="R63" i="5"/>
  <c r="P63" i="5"/>
  <c r="E63" i="5"/>
  <c r="D63" i="5"/>
  <c r="C63" i="5"/>
  <c r="A63" i="5"/>
  <c r="S62" i="5"/>
  <c r="R62" i="5"/>
  <c r="P62" i="5"/>
  <c r="E62" i="5"/>
  <c r="D62" i="5"/>
  <c r="C62" i="5"/>
  <c r="A62" i="5"/>
  <c r="S61" i="5"/>
  <c r="R61" i="5"/>
  <c r="P61" i="5"/>
  <c r="E61" i="5"/>
  <c r="D61" i="5"/>
  <c r="C61" i="5"/>
  <c r="A61" i="5"/>
  <c r="S60" i="5"/>
  <c r="R60" i="5"/>
  <c r="P60" i="5"/>
  <c r="E60" i="5"/>
  <c r="D60" i="5"/>
  <c r="C60" i="5"/>
  <c r="A60" i="5"/>
  <c r="S59" i="5"/>
  <c r="R59" i="5"/>
  <c r="P59" i="5"/>
  <c r="E59" i="5"/>
  <c r="D59" i="5"/>
  <c r="C59" i="5"/>
  <c r="A59" i="5"/>
  <c r="S58" i="5"/>
  <c r="R58" i="5"/>
  <c r="P58" i="5"/>
  <c r="E58" i="5"/>
  <c r="D58" i="5"/>
  <c r="C58" i="5"/>
  <c r="A58" i="5"/>
  <c r="S57" i="5"/>
  <c r="R57" i="5"/>
  <c r="P57" i="5"/>
  <c r="E57" i="5"/>
  <c r="D57" i="5"/>
  <c r="C57" i="5"/>
  <c r="A57" i="5"/>
  <c r="S56" i="5"/>
  <c r="R56" i="5"/>
  <c r="P56" i="5"/>
  <c r="E56" i="5"/>
  <c r="D56" i="5"/>
  <c r="C56" i="5"/>
  <c r="A56" i="5"/>
  <c r="S55" i="5"/>
  <c r="R55" i="5"/>
  <c r="P55" i="5"/>
  <c r="E55" i="5"/>
  <c r="D55" i="5"/>
  <c r="C55" i="5"/>
  <c r="A55" i="5"/>
  <c r="S54" i="5"/>
  <c r="R54" i="5"/>
  <c r="P54" i="5"/>
  <c r="E54" i="5"/>
  <c r="D54" i="5"/>
  <c r="C54" i="5"/>
  <c r="A54" i="5"/>
  <c r="S53" i="5"/>
  <c r="R53" i="5"/>
  <c r="P53" i="5"/>
  <c r="E53" i="5"/>
  <c r="D53" i="5"/>
  <c r="C53" i="5"/>
  <c r="A53" i="5"/>
  <c r="S52" i="5"/>
  <c r="R52" i="5"/>
  <c r="P52" i="5"/>
  <c r="E52" i="5"/>
  <c r="D52" i="5"/>
  <c r="C52" i="5"/>
  <c r="A52" i="5"/>
  <c r="S51" i="5"/>
  <c r="R51" i="5"/>
  <c r="P51" i="5"/>
  <c r="E51" i="5"/>
  <c r="D51" i="5"/>
  <c r="C51" i="5"/>
  <c r="A51" i="5"/>
  <c r="S50" i="5"/>
  <c r="R50" i="5"/>
  <c r="P50" i="5"/>
  <c r="E50" i="5"/>
  <c r="D50" i="5"/>
  <c r="C50" i="5"/>
  <c r="A50" i="5"/>
  <c r="S49" i="5"/>
  <c r="R49" i="5"/>
  <c r="P49" i="5"/>
  <c r="E49" i="5"/>
  <c r="D49" i="5"/>
  <c r="C49" i="5"/>
  <c r="A49" i="5"/>
  <c r="S48" i="5"/>
  <c r="R48" i="5"/>
  <c r="P48" i="5"/>
  <c r="E48" i="5"/>
  <c r="D48" i="5"/>
  <c r="C48" i="5"/>
  <c r="A48" i="5"/>
  <c r="S47" i="5"/>
  <c r="R47" i="5"/>
  <c r="P47" i="5"/>
  <c r="E47" i="5"/>
  <c r="D47" i="5"/>
  <c r="C47" i="5"/>
  <c r="A47" i="5"/>
  <c r="S46" i="5"/>
  <c r="R46" i="5"/>
  <c r="P46" i="5"/>
  <c r="E46" i="5"/>
  <c r="D46" i="5"/>
  <c r="C46" i="5"/>
  <c r="A46" i="5"/>
  <c r="S45" i="5"/>
  <c r="R45" i="5"/>
  <c r="P45" i="5"/>
  <c r="E45" i="5"/>
  <c r="D45" i="5"/>
  <c r="C45" i="5"/>
  <c r="A45" i="5"/>
  <c r="S44" i="5"/>
  <c r="R44" i="5"/>
  <c r="P44" i="5"/>
  <c r="E44" i="5"/>
  <c r="D44" i="5"/>
  <c r="C44" i="5"/>
  <c r="A44" i="5"/>
  <c r="S43" i="5"/>
  <c r="R43" i="5"/>
  <c r="P43" i="5"/>
  <c r="E43" i="5"/>
  <c r="D43" i="5"/>
  <c r="C43" i="5"/>
  <c r="A43" i="5"/>
  <c r="S42" i="5"/>
  <c r="R42" i="5"/>
  <c r="P42" i="5"/>
  <c r="E42" i="5"/>
  <c r="D42" i="5"/>
  <c r="C42" i="5"/>
  <c r="A42" i="5"/>
  <c r="S41" i="5"/>
  <c r="R41" i="5"/>
  <c r="P41" i="5"/>
  <c r="E41" i="5"/>
  <c r="D41" i="5"/>
  <c r="C41" i="5"/>
  <c r="A41" i="5"/>
  <c r="S40" i="5"/>
  <c r="R40" i="5"/>
  <c r="P40" i="5"/>
  <c r="E40" i="5"/>
  <c r="D40" i="5"/>
  <c r="C40" i="5"/>
  <c r="A40" i="5"/>
  <c r="S39" i="5"/>
  <c r="R39" i="5"/>
  <c r="P39" i="5"/>
  <c r="E39" i="5"/>
  <c r="D39" i="5"/>
  <c r="C39" i="5"/>
  <c r="A39" i="5"/>
  <c r="S38" i="5"/>
  <c r="R38" i="5"/>
  <c r="P38" i="5"/>
  <c r="E38" i="5"/>
  <c r="D38" i="5"/>
  <c r="C38" i="5"/>
  <c r="A38" i="5"/>
  <c r="S37" i="5"/>
  <c r="R37" i="5"/>
  <c r="P37" i="5"/>
  <c r="E37" i="5"/>
  <c r="D37" i="5"/>
  <c r="C37" i="5"/>
  <c r="A37" i="5"/>
  <c r="S36" i="5"/>
  <c r="R36" i="5"/>
  <c r="P36" i="5"/>
  <c r="E36" i="5"/>
  <c r="D36" i="5"/>
  <c r="C36" i="5"/>
  <c r="A36" i="5"/>
  <c r="S35" i="5"/>
  <c r="R35" i="5"/>
  <c r="P35" i="5"/>
  <c r="E35" i="5"/>
  <c r="D35" i="5"/>
  <c r="C35" i="5"/>
  <c r="A35" i="5"/>
  <c r="S34" i="5"/>
  <c r="R34" i="5"/>
  <c r="P34" i="5"/>
  <c r="E34" i="5"/>
  <c r="D34" i="5"/>
  <c r="C34" i="5"/>
  <c r="A34" i="5"/>
  <c r="S33" i="5"/>
  <c r="R33" i="5"/>
  <c r="P33" i="5"/>
  <c r="E33" i="5"/>
  <c r="D33" i="5"/>
  <c r="C33" i="5"/>
  <c r="A33" i="5"/>
  <c r="S32" i="5"/>
  <c r="R32" i="5"/>
  <c r="P32" i="5"/>
  <c r="E32" i="5"/>
  <c r="D32" i="5"/>
  <c r="C32" i="5"/>
  <c r="A32" i="5"/>
  <c r="S31" i="5"/>
  <c r="R31" i="5"/>
  <c r="P31" i="5"/>
  <c r="E31" i="5"/>
  <c r="D31" i="5"/>
  <c r="C31" i="5"/>
  <c r="A31" i="5"/>
  <c r="S30" i="5"/>
  <c r="R30" i="5"/>
  <c r="P30" i="5"/>
  <c r="E30" i="5"/>
  <c r="D30" i="5"/>
  <c r="C30" i="5"/>
  <c r="A30" i="5"/>
  <c r="S29" i="5"/>
  <c r="R29" i="5"/>
  <c r="P29" i="5"/>
  <c r="E29" i="5"/>
  <c r="D29" i="5"/>
  <c r="C29" i="5"/>
  <c r="A29" i="5"/>
  <c r="S28" i="5"/>
  <c r="R28" i="5"/>
  <c r="P28" i="5"/>
  <c r="E28" i="5"/>
  <c r="D28" i="5"/>
  <c r="C28" i="5"/>
  <c r="A28" i="5"/>
  <c r="S27" i="5"/>
  <c r="R27" i="5"/>
  <c r="P27" i="5"/>
  <c r="E27" i="5"/>
  <c r="D27" i="5"/>
  <c r="C27" i="5"/>
  <c r="A27" i="5"/>
  <c r="S26" i="5"/>
  <c r="R26" i="5"/>
  <c r="P26" i="5"/>
  <c r="E26" i="5"/>
  <c r="D26" i="5"/>
  <c r="C26" i="5"/>
  <c r="A26" i="5"/>
  <c r="S25" i="5"/>
  <c r="R25" i="5"/>
  <c r="P25" i="5"/>
  <c r="E25" i="5"/>
  <c r="D25" i="5"/>
  <c r="C25" i="5"/>
  <c r="A25" i="5"/>
  <c r="S24" i="5"/>
  <c r="R24" i="5"/>
  <c r="P24" i="5"/>
  <c r="E24" i="5"/>
  <c r="D24" i="5"/>
  <c r="C24" i="5"/>
  <c r="A24" i="5"/>
  <c r="S23" i="5"/>
  <c r="R23" i="5"/>
  <c r="P23" i="5"/>
  <c r="E23" i="5"/>
  <c r="D23" i="5"/>
  <c r="C23" i="5"/>
  <c r="A23" i="5"/>
  <c r="S22" i="5"/>
  <c r="R22" i="5"/>
  <c r="P22" i="5"/>
  <c r="E22" i="5"/>
  <c r="D22" i="5"/>
  <c r="C22" i="5"/>
  <c r="A22" i="5"/>
  <c r="S21" i="5"/>
  <c r="R21" i="5"/>
  <c r="P21" i="5"/>
  <c r="E21" i="5"/>
  <c r="D21" i="5"/>
  <c r="C21" i="5"/>
  <c r="A21" i="5"/>
  <c r="S20" i="5"/>
  <c r="R20" i="5"/>
  <c r="P20" i="5"/>
  <c r="E20" i="5"/>
  <c r="D20" i="5"/>
  <c r="C20" i="5"/>
  <c r="A20" i="5"/>
  <c r="S19" i="5"/>
  <c r="R19" i="5"/>
  <c r="P19" i="5"/>
  <c r="E19" i="5"/>
  <c r="D19" i="5"/>
  <c r="C19" i="5"/>
  <c r="A19" i="5"/>
  <c r="S18" i="5"/>
  <c r="R18" i="5"/>
  <c r="P18" i="5"/>
  <c r="E18" i="5"/>
  <c r="D18" i="5"/>
  <c r="C18" i="5"/>
  <c r="A18" i="5"/>
  <c r="S17" i="5"/>
  <c r="R17" i="5"/>
  <c r="P17" i="5"/>
  <c r="E17" i="5"/>
  <c r="D17" i="5"/>
  <c r="C17" i="5"/>
  <c r="A17" i="5"/>
  <c r="S16" i="5"/>
  <c r="R16" i="5"/>
  <c r="P16" i="5"/>
  <c r="E16" i="5"/>
  <c r="D16" i="5"/>
  <c r="C16" i="5"/>
  <c r="A16" i="5"/>
  <c r="S15" i="5"/>
  <c r="R15" i="5"/>
  <c r="P15" i="5"/>
  <c r="E15" i="5"/>
  <c r="D15" i="5"/>
  <c r="C15" i="5"/>
  <c r="A15" i="5"/>
  <c r="S14" i="5"/>
  <c r="R14" i="5"/>
  <c r="P14" i="5"/>
  <c r="E14" i="5"/>
  <c r="D14" i="5"/>
  <c r="C14" i="5"/>
  <c r="A14" i="5"/>
  <c r="S13" i="5"/>
  <c r="R13" i="5"/>
  <c r="P13" i="5"/>
  <c r="E13" i="5"/>
  <c r="D13" i="5"/>
  <c r="C13" i="5"/>
  <c r="A13" i="5"/>
  <c r="S12" i="5"/>
  <c r="R12" i="5"/>
  <c r="P12" i="5"/>
  <c r="D12" i="5"/>
  <c r="C12" i="5"/>
  <c r="S11" i="5"/>
  <c r="R11" i="5"/>
  <c r="P11" i="5"/>
  <c r="D11" i="5"/>
  <c r="C11" i="5"/>
  <c r="S10" i="5"/>
  <c r="R10" i="5"/>
  <c r="P10" i="5"/>
  <c r="D10" i="5"/>
  <c r="C10" i="5"/>
  <c r="S9" i="5"/>
  <c r="R9" i="5"/>
  <c r="P9" i="5"/>
  <c r="D9" i="5"/>
  <c r="C9" i="5"/>
  <c r="S8" i="5"/>
  <c r="R8" i="5"/>
  <c r="P8" i="5"/>
  <c r="D8" i="5"/>
  <c r="C8" i="5"/>
  <c r="S7" i="5"/>
  <c r="R7" i="5"/>
  <c r="P7" i="5"/>
  <c r="D7" i="5"/>
  <c r="C7" i="5"/>
  <c r="S6" i="5"/>
  <c r="R6" i="5"/>
  <c r="P6" i="5"/>
  <c r="D6" i="5"/>
  <c r="C6" i="5"/>
  <c r="S5" i="5"/>
  <c r="R5" i="5"/>
  <c r="P5" i="5"/>
  <c r="D5" i="5"/>
  <c r="C5" i="5"/>
  <c r="S4" i="5"/>
  <c r="R4" i="5"/>
  <c r="P4" i="5"/>
  <c r="D4" i="5"/>
  <c r="C4" i="5"/>
  <c r="S3" i="5"/>
  <c r="R3" i="5"/>
  <c r="P3" i="5"/>
  <c r="D3" i="5"/>
  <c r="C3" i="5"/>
  <c r="S2" i="5"/>
  <c r="R2" i="5"/>
  <c r="P2" i="5"/>
  <c r="D2" i="5"/>
  <c r="C2" i="5"/>
  <c r="I29" i="3"/>
  <c r="I28" i="3"/>
  <c r="I27" i="3"/>
  <c r="I26" i="3"/>
  <c r="I25" i="3"/>
  <c r="I24" i="3"/>
  <c r="B4" i="2"/>
  <c r="M27" i="6"/>
  <c r="L27" i="6"/>
  <c r="K27" i="6"/>
  <c r="J27" i="6"/>
  <c r="I27" i="6"/>
  <c r="H27" i="6"/>
  <c r="G27" i="6"/>
  <c r="F27" i="6"/>
  <c r="E27" i="6"/>
  <c r="D27" i="6"/>
  <c r="C27" i="6"/>
  <c r="B27" i="6"/>
  <c r="M26" i="6"/>
  <c r="L26" i="6"/>
  <c r="K26" i="6"/>
  <c r="J26" i="6"/>
  <c r="I26" i="6"/>
  <c r="H26" i="6"/>
  <c r="G26" i="6"/>
  <c r="F26" i="6"/>
  <c r="E26" i="6"/>
  <c r="D26" i="6"/>
  <c r="C26" i="6"/>
  <c r="B26" i="6"/>
  <c r="M25" i="6"/>
  <c r="L25" i="6"/>
  <c r="K25" i="6"/>
  <c r="J25" i="6"/>
  <c r="I25" i="6"/>
  <c r="H25" i="6"/>
  <c r="G25" i="6"/>
  <c r="F25" i="6"/>
  <c r="E25" i="6"/>
  <c r="D25" i="6"/>
  <c r="C25" i="6"/>
  <c r="B25" i="6"/>
  <c r="C21" i="6"/>
  <c r="C13" i="7" s="1"/>
  <c r="B21" i="6"/>
  <c r="C19" i="6"/>
  <c r="C11" i="7" s="1"/>
  <c r="B19" i="6"/>
  <c r="C18" i="6"/>
  <c r="C10" i="7" s="1"/>
  <c r="B18" i="6"/>
  <c r="C17" i="6"/>
  <c r="C9" i="7" s="1"/>
  <c r="B17" i="6"/>
  <c r="C16" i="6"/>
  <c r="B16" i="6"/>
  <c r="M11" i="6"/>
  <c r="L11" i="6"/>
  <c r="K11" i="6"/>
  <c r="J11" i="6"/>
  <c r="I11" i="6"/>
  <c r="H11" i="6"/>
  <c r="G11" i="6"/>
  <c r="F11" i="6"/>
  <c r="E11" i="6"/>
  <c r="D11" i="6"/>
  <c r="C11" i="6"/>
  <c r="B11" i="6"/>
  <c r="M10" i="6"/>
  <c r="L10" i="6"/>
  <c r="K10" i="6"/>
  <c r="J10" i="6"/>
  <c r="I10" i="6"/>
  <c r="H10" i="6"/>
  <c r="G10" i="6"/>
  <c r="F10" i="6"/>
  <c r="E10" i="6"/>
  <c r="D10" i="6"/>
  <c r="C10" i="6"/>
  <c r="B10" i="6"/>
  <c r="M9" i="6"/>
  <c r="L9" i="6"/>
  <c r="K9" i="6"/>
  <c r="J9" i="6"/>
  <c r="I9" i="6"/>
  <c r="H9" i="6"/>
  <c r="G9" i="6"/>
  <c r="F9" i="6"/>
  <c r="E9" i="6"/>
  <c r="D9" i="6"/>
  <c r="C9" i="6"/>
  <c r="B9" i="6"/>
  <c r="M8" i="6"/>
  <c r="L8" i="6"/>
  <c r="K8" i="6"/>
  <c r="J8" i="6"/>
  <c r="I8" i="6"/>
  <c r="H8" i="6"/>
  <c r="G8" i="6"/>
  <c r="F8" i="6"/>
  <c r="E8" i="6"/>
  <c r="D8" i="6"/>
  <c r="C8" i="6"/>
  <c r="B8" i="6"/>
  <c r="M7" i="6"/>
  <c r="L7" i="6"/>
  <c r="K7" i="6"/>
  <c r="J7" i="6"/>
  <c r="I7" i="6"/>
  <c r="H7" i="6"/>
  <c r="G7" i="6"/>
  <c r="F7" i="6"/>
  <c r="E7" i="6"/>
  <c r="D7" i="6"/>
  <c r="C7" i="6"/>
  <c r="B7" i="6"/>
  <c r="M6" i="6"/>
  <c r="L6" i="6"/>
  <c r="K6" i="6"/>
  <c r="J6" i="6"/>
  <c r="I6" i="6"/>
  <c r="H6" i="6"/>
  <c r="G6" i="6"/>
  <c r="F6" i="6"/>
  <c r="E6" i="6"/>
  <c r="D6" i="6"/>
  <c r="C6" i="6"/>
  <c r="B6" i="6"/>
  <c r="M5" i="6"/>
  <c r="L5" i="6"/>
  <c r="K5" i="6"/>
  <c r="J5" i="6"/>
  <c r="I5" i="6"/>
  <c r="H5" i="6"/>
  <c r="G5" i="6"/>
  <c r="F5" i="6"/>
  <c r="E5" i="6"/>
  <c r="D5" i="6"/>
  <c r="C5" i="6"/>
  <c r="B5" i="6"/>
  <c r="M3" i="6"/>
  <c r="L3" i="6"/>
  <c r="K3" i="6"/>
  <c r="J3" i="6"/>
  <c r="I3" i="6"/>
  <c r="H3" i="6"/>
  <c r="G3" i="6"/>
  <c r="F3" i="6"/>
  <c r="E3" i="6"/>
  <c r="D3" i="6"/>
  <c r="C3" i="6"/>
  <c r="B3" i="6"/>
  <c r="E12" i="5" l="1"/>
  <c r="E11" i="5"/>
  <c r="E10" i="5"/>
  <c r="E9" i="5"/>
  <c r="E8" i="5"/>
  <c r="E7" i="5"/>
  <c r="E6" i="5"/>
  <c r="E5" i="5"/>
  <c r="E4" i="5"/>
  <c r="E3" i="5"/>
  <c r="E2" i="5"/>
  <c r="B13" i="7"/>
  <c r="D21" i="6"/>
  <c r="D13" i="7" s="1"/>
  <c r="B11" i="7"/>
  <c r="D19" i="6"/>
  <c r="D11" i="7" s="1"/>
  <c r="B10" i="7"/>
  <c r="D18" i="6"/>
  <c r="D10" i="7" s="1"/>
  <c r="B9" i="7"/>
  <c r="D17" i="6"/>
  <c r="D9" i="7" s="1"/>
  <c r="C8" i="7"/>
  <c r="C20" i="6"/>
  <c r="C12" i="7" s="1"/>
  <c r="B8" i="7"/>
  <c r="B20" i="6"/>
  <c r="D16" i="6"/>
  <c r="D8" i="7" s="1"/>
  <c r="D20" i="6" l="1"/>
  <c r="D12" i="7" s="1"/>
  <c r="B12" i="7"/>
</calcChain>
</file>

<file path=xl/sharedStrings.xml><?xml version="1.0" encoding="utf-8"?>
<sst xmlns="http://schemas.openxmlformats.org/spreadsheetml/2006/main" count="2541" uniqueCount="748">
  <si>
    <t>Monthly Performance Scorecard (from Raw Data)</t>
  </si>
  <si>
    <t>Pick Post start month in B14. Pre = months before selection; Post = selected month through Dec. Scorecard above rolls up from Raw Data.</t>
  </si>
  <si>
    <t>Period</t>
  </si>
  <si>
    <t>Metric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</si>
  <si>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</si>
  <si>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</si>
  <si>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</si>
  <si>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</si>
  <si>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</si>
  <si>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</si>
  <si>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</si>
  <si>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</si>
  <si>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</si>
  <si>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</si>
  <si>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</si>
  <si>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</si>
  <si>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Spend</t>
  </si>
  <si>
    <t>Impressions</t>
  </si>
  <si>
    <t>Clicks</t>
  </si>
  <si>
    <t>Conversions</t>
  </si>
  <si>
    <t>CPA (Spend / Conversions)</t>
  </si>
  <si>
    <t>CTR % (Clicks / Impressions)</t>
  </si>
  <si>
    <t>Conv. Rate % (Conv / Clicks)</t>
  </si>
  <si>
    <t>Pre vs Post summary</t>
  </si>
  <si>
    <t>Post start month</t>
  </si>
  <si>
    <t>← select month (data validation). Pre = before this month; Post = this month → Dec.</t>
  </si>
  <si>
    <t>Pre (before selected)</t>
  </si>
  <si>
    <t>Post (selected → Dec)</t>
  </si>
  <si>
    <t>Delta %</t>
  </si>
  <si>
    <t>Avg monthly spend</t>
  </si>
  <si>
    <t>CPA (total)</t>
  </si>
  <si>
    <t>Avg monthly conversions</t>
  </si>
  <si>
    <t>Delta % = (Post − Pre) / Pre. Change B14 to re-cut the comparison (e.g. set to Apr 2026 to treat Apr–Dec as Post).</t>
  </si>
  <si>
    <t>Activity counts (by Type)</t>
  </si>
  <si>
    <t>Type</t>
  </si>
  <si>
    <t>Strategy entries</t>
  </si>
  <si>
    <t>Deployment entries</t>
  </si>
  <si>
    <t>Performance Recap entries</t>
  </si>
  <si>
    <t>Paid Search Monthly Tracker</t>
  </si>
  <si>
    <t>Understory — strategies, deployments, performance recaps, and pre/post reporting</t>
  </si>
  <si>
    <t>Pre / Post framing</t>
  </si>
  <si>
    <t>Pre period</t>
  </si>
  <si>
    <t>Jan–Jun 2026 baseline (before the Jul theme expansion). Use for before-state metrics and narrative.</t>
  </si>
  <si>
    <t>Post period</t>
  </si>
  <si>
    <t>Jul 2026 onward (deployment live). Compare against Pre to measure lift / change.</t>
  </si>
  <si>
    <t>Cutoff</t>
  </si>
  <si>
    <t>Set via the month dropdown on Monthly Metrics (B14). Config Post Start Date follows that selection.</t>
  </si>
  <si>
    <t>Tabs</t>
  </si>
  <si>
    <t>Config</t>
  </si>
  <si>
    <t>Post start date + client defaults. Change here if the pre/post cutoff moves.</t>
  </si>
  <si>
    <t>Monthly Overview</t>
  </si>
  <si>
    <t>Narrative month-by-month view. Rows = strategy / deployment / performance. Columns = months.</t>
  </si>
  <si>
    <t>Raw Data</t>
  </si>
  <si>
    <t>Flat log for reporting. One row per entry. Filters + Period (Pre/Post) for comparison.</t>
  </si>
  <si>
    <t>Monthly Metrics</t>
  </si>
  <si>
    <t>Numeric scorecard via SUMIFS from Raw Data. Leave formulas alone; enter numbers in Raw Data.</t>
  </si>
  <si>
    <t>Reporting</t>
  </si>
  <si>
    <t>Placeholder reporting: monthly trends, Pre vs Post pies/bars. Reporting read chart data tables on this tab.</t>
  </si>
  <si>
    <t>Workflow</t>
  </si>
  <si>
    <t>1. Plan</t>
  </si>
  <si>
    <t>Monthly Overview → Strategy for the month.</t>
  </si>
  <si>
    <t>2. Deploy</t>
  </si>
  <si>
    <t>Log launches in Overview + Raw Data (Type = Deployment).</t>
  </si>
  <si>
    <t>3. Recap</t>
  </si>
  <si>
    <t>Month-end: Performance Recap rows + Raw Data metrics row.</t>
  </si>
  <si>
    <t>4. Compare</t>
  </si>
  <si>
    <t>Use Reporting reporting and Pre vs Post tables for before/after.</t>
  </si>
  <si>
    <t>Date Mapping</t>
  </si>
  <si>
    <t>Rule</t>
  </si>
  <si>
    <t>28-day periods. Period 8 = 7/13–8/9/2026. Post Period N maps day-by-day (reversed) to Pre Period N−1.</t>
  </si>
  <si>
    <t>Selector</t>
  </si>
  <si>
    <t>On Date Mapping, yellow cell = Post Period. Pre window start/end update via lookup.</t>
  </si>
  <si>
    <t>Setting</t>
  </si>
  <si>
    <t>Value</t>
  </si>
  <si>
    <t>Notes</t>
  </si>
  <si>
    <t>Month Label</t>
  </si>
  <si>
    <t>Month Key</t>
  </si>
  <si>
    <t>Month Start</t>
  </si>
  <si>
    <t>Post Start Date</t>
  </si>
  <si>
    <t>Auto from month selector on Monthly Metrics (B14). Dates before = Pre; on/after = Post</t>
  </si>
  <si>
    <t>2026-01</t>
  </si>
  <si>
    <t>Primary Client</t>
  </si>
  <si>
    <t>Red Robin</t>
  </si>
  <si>
    <t>Default client for sample / reporting</t>
  </si>
  <si>
    <t>2026-02</t>
  </si>
  <si>
    <t>Primary Platform</t>
  </si>
  <si>
    <t>Google Ads</t>
  </si>
  <si>
    <t>Default platform</t>
  </si>
  <si>
    <t>2026-03</t>
  </si>
  <si>
    <t>Pre Label</t>
  </si>
  <si>
    <t>Pre</t>
  </si>
  <si>
    <t>Used in Period column + Pre/Post table</t>
  </si>
  <si>
    <t>2026-04</t>
  </si>
  <si>
    <t>Post Label</t>
  </si>
  <si>
    <t>Post</t>
  </si>
  <si>
    <t>2026-05</t>
  </si>
  <si>
    <t>Year</t>
  </si>
  <si>
    <t>Month headers year</t>
  </si>
  <si>
    <t>2026-06</t>
  </si>
  <si>
    <t>2026-07</t>
  </si>
  <si>
    <t>Change the Post start month on Monthly Metrics (dropdown in B14). Pre/Post summary and Raw Data Period tags update from that selection.</t>
  </si>
  <si>
    <t>Date Mapping sheet holds the full 2026 day-level Pre/Post pairs (Period 8 sample = 7/13–8/9 ↔ Period 7 = 6/15–7/12).</t>
  </si>
  <si>
    <t>2026-10</t>
  </si>
  <si>
    <t>2026-11</t>
  </si>
  <si>
    <t>2026-12</t>
  </si>
  <si>
    <t>Pre / Post Date Mapping — 2026</t>
  </si>
  <si>
    <t>28-day periods anchored to Period 8 = 7/13/2026–8/9/2026. Each Post date maps to the mirrored day in the prior period (Post day 1 ↔ Pre last day, …, Post last day ↔ Pre first day).</t>
  </si>
  <si>
    <t>Period index</t>
  </si>
  <si>
    <t>Start</t>
  </si>
  <si>
    <t>End</t>
  </si>
  <si>
    <t>Days</t>
  </si>
  <si>
    <t>Role vs prior</t>
  </si>
  <si>
    <t>Pre for Period 1</t>
  </si>
  <si>
    <t>Post (maps ← Period 0); Pre for Period 2</t>
  </si>
  <si>
    <t>Post (maps ← Period 1); Pre for Period 3</t>
  </si>
  <si>
    <t>Post (maps ← Period 2); Pre for Period 4</t>
  </si>
  <si>
    <t>Post (maps ← Period 3); Pre for Period 5</t>
  </si>
  <si>
    <t>Post (maps ← Period 4); Pre for Period 6</t>
  </si>
  <si>
    <t>Post (maps ← Period 5); Pre for Period 7</t>
  </si>
  <si>
    <t>Post (maps ← Period 6); Pre for Period 8</t>
  </si>
  <si>
    <t>Post (maps ← Period 7); Pre for Period 9</t>
  </si>
  <si>
    <t>Post (maps ← Period 8); Pre for Period 10</t>
  </si>
  <si>
    <t>Post (maps ← Period 9); Pre for Period 11</t>
  </si>
  <si>
    <t>Post (maps ← Period 10); Pre for Period 12</t>
  </si>
  <si>
    <t>Post (maps ← Period 11); Pre for Period 13</t>
  </si>
  <si>
    <t>Post (maps ← Period 12); Pre for Period 14</t>
  </si>
  <si>
    <t>Post (maps ← Period 13)</t>
  </si>
  <si>
    <t>Day-level mapping (Post date in 2026 → Pre date)</t>
  </si>
  <si>
    <t>Lookup helpers</t>
  </si>
  <si>
    <t>Post Period</t>
  </si>
  <si>
    <t>Post Date</t>
  </si>
  <si>
    <t>Pre Period</t>
  </si>
  <si>
    <t>Pre Date</t>
  </si>
  <si>
    <t>Post Window</t>
  </si>
  <si>
    <t>Pre Window</t>
  </si>
  <si>
    <t>Select Post Period</t>
  </si>
  <si>
    <t>12/29/2025–1/25/2026</t>
  </si>
  <si>
    <t>12/1/2025–12/28/2025</t>
  </si>
  <si>
    <t>Post window start</t>
  </si>
  <si>
    <t>Post window end</t>
  </si>
  <si>
    <t>Pre period #</t>
  </si>
  <si>
    <t>Pre window start</t>
  </si>
  <si>
    <t>Pre window end</t>
  </si>
  <si>
    <t>Day count</t>
  </si>
  <si>
    <t>Change I23 to pick a Post period — Pre window looks up automatically.</t>
  </si>
  <si>
    <t>1/26/2026–2/22/2026</t>
  </si>
  <si>
    <t>2/23/2026–3/22/2026</t>
  </si>
  <si>
    <t>3/23/2026–4/19/2026</t>
  </si>
  <si>
    <t>4/20/2026–5/17/2026</t>
  </si>
  <si>
    <t>5/18/2026–6/14/2026</t>
  </si>
  <si>
    <t>6/15/2026–7/12/2026</t>
  </si>
  <si>
    <t>7/13/2026–8/9/2026</t>
  </si>
  <si>
    <t>8/10/2026–9/6/2026</t>
  </si>
  <si>
    <t>9/7/2026–10/4/2026</t>
  </si>
  <si>
    <t>10/5/2026–11/1/2026</t>
  </si>
  <si>
    <t>11/2/2026–11/29/2026</t>
  </si>
  <si>
    <t>11/30/2026–12/27/2026</t>
  </si>
  <si>
    <t>12/28/2026–1/24/2027</t>
  </si>
  <si>
    <t>Paid Search — Monthly Strategy / Deployments / Performance</t>
  </si>
  <si>
    <t>Period tags below follow the Jul deploy default for layout. Authoritative Pre/Post cut for metrics = Monthly Metrics month dropdown (B14).</t>
  </si>
  <si>
    <t>Section</t>
  </si>
  <si>
    <t>Item</t>
  </si>
  <si>
    <t>STRATEGY</t>
  </si>
  <si>
    <t>Monthly focus / thesis</t>
  </si>
  <si>
    <t>Audience &amp; geo posture</t>
  </si>
  <si>
    <t>Budget allocation notes</t>
  </si>
  <si>
    <t>Themes / keywords / negatives</t>
  </si>
  <si>
    <t>Creative / offer direction</t>
  </si>
  <si>
    <t>Risks &amp; watchouts</t>
  </si>
  <si>
    <t>DEPLOYMENTS</t>
  </si>
  <si>
    <t>Campaigns launched / paused</t>
  </si>
  <si>
    <t>Ads / RSAs / assets shipped</t>
  </si>
  <si>
    <t>Bidding / budget changes</t>
  </si>
  <si>
    <t>Landing page / tracking changes</t>
  </si>
  <si>
    <t>Experiments started / concluded</t>
  </si>
  <si>
    <t>Other ops changes</t>
  </si>
  <si>
    <t>PERFORMANCE RECAP</t>
  </si>
  <si>
    <t>What worked</t>
  </si>
  <si>
    <t>What underperformed</t>
  </si>
  <si>
    <t>Insights &amp; learnings</t>
  </si>
  <si>
    <t>Client / stakeholder notes</t>
  </si>
  <si>
    <t>Priorities for next month</t>
  </si>
  <si>
    <t>Tip: Pre columns are cool-tinted, Post are white, current month is mint. Keep cells short; full detail + metrics live in Raw Data.</t>
  </si>
  <si>
    <t>Entry ID</t>
  </si>
  <si>
    <t>Date</t>
  </si>
  <si>
    <t>Client / Account</t>
  </si>
  <si>
    <t>Platform</t>
  </si>
  <si>
    <t>Campaign</t>
  </si>
  <si>
    <t>Ad Group / Theme</t>
  </si>
  <si>
    <t>Status</t>
  </si>
  <si>
    <t>Description</t>
  </si>
  <si>
    <t>CTR %</t>
  </si>
  <si>
    <t>Conv. Rate %</t>
  </si>
  <si>
    <t>CPA</t>
  </si>
  <si>
    <t>ROAS</t>
  </si>
  <si>
    <t>Owner</t>
  </si>
  <si>
    <t>Doc / Link</t>
  </si>
  <si>
    <t>Performance Recap</t>
  </si>
  <si>
    <t>All Search</t>
  </si>
  <si>
    <t>Recap</t>
  </si>
  <si>
    <t>Monthly performance recap — Jan 2026</t>
  </si>
  <si>
    <t>Skye</t>
  </si>
  <si>
    <t>Pre baseline — Jan</t>
  </si>
  <si>
    <t>Monthly performance recap — Feb 2026</t>
  </si>
  <si>
    <t>Pre baseline — Feb</t>
  </si>
  <si>
    <t>Monthly performance recap — Mar 2026</t>
  </si>
  <si>
    <t>Pre baseline — Mar</t>
  </si>
  <si>
    <t>Monthly performance recap — Apr 2026</t>
  </si>
  <si>
    <t>Pre baseline — Apr</t>
  </si>
  <si>
    <t>Monthly performance recap — May 2026</t>
  </si>
  <si>
    <t>Pre baseline — May</t>
  </si>
  <si>
    <t>Monthly performance recap — Jun 2026</t>
  </si>
  <si>
    <t>Pre baseline — Jun (last Pre month)</t>
  </si>
  <si>
    <t>Monthly performance recap — Jul 2026</t>
  </si>
  <si>
    <t>Post — mid-Jul after theme expansion</t>
  </si>
  <si>
    <t>Strategy</t>
  </si>
  <si>
    <t>Planned</t>
  </si>
  <si>
    <t>Finalize Family + chicken theme expansion for Jul Post start</t>
  </si>
  <si>
    <t>Brief ready; deploy Jul 1 week</t>
  </si>
  <si>
    <t>Post period live — Family + chicken themes; dinner occasion focus</t>
  </si>
  <si>
    <t>Seeded from Search Themes Review</t>
  </si>
  <si>
    <t>Deployment</t>
  </si>
  <si>
    <t>Non-Brand Search</t>
  </si>
  <si>
    <t>Family &amp; Kids</t>
  </si>
  <si>
    <t>Live</t>
  </si>
  <si>
    <t>Launched 7 new Family &amp; Kids root themes</t>
  </si>
  <si>
    <t>Theme deploy week 1</t>
  </si>
  <si>
    <t>Chicken</t>
  </si>
  <si>
    <t>Launched chicken product root themes</t>
  </si>
  <si>
    <t>Charts removed. Use Monthly Metrics → Post start month dropdown (B14) to drive the Pre/Post summary table.</t>
  </si>
  <si>
    <t>Post start month (linked)</t>
  </si>
  <si>
    <t>Pre vs Post (mirrors Monthly Metrics)</t>
  </si>
  <si>
    <t>To change the cut: go to Monthly Metrics and use the dropdown in B14 (yellow cell). This view updates automatically.</t>
  </si>
  <si>
    <t>Store ID</t>
  </si>
  <si>
    <t>Campaign type</t>
  </si>
  <si>
    <t>RR_Surface_PMAX_Franch_LVRB_Value-Mix_Adult-Non-Burger_466_Exeter-Commons</t>
  </si>
  <si>
    <t>Performance Max</t>
  </si>
  <si>
    <t>RR_Surface_PMAX_Franch_Ansara_Value-Mix_Adult-Non-Burger_496_Holland</t>
  </si>
  <si>
    <t>RR_Surface_PMAX_Franch_Ansara_Value-Mix_Adult-Non-Burger_499_Ann-Arbor</t>
  </si>
  <si>
    <t>RR_Surface_PMAX_Franch_LVRB_Value-Mix_Adult-Non-Burger_329_Silver-Spring</t>
  </si>
  <si>
    <t>RR_Surface_PMAX_Franch_LVRB_Value-Mix_Adult-Non-Burger_339_Stroudsburg</t>
  </si>
  <si>
    <t>RR_Surface_PMAX_Franch_Ansara_Value-Mix_Adult-Non-Burger_761_Rossford</t>
  </si>
  <si>
    <t>RR_Surface_PMAX_Franch_LVRB_Value-Mix_Adult-Non-Burger_326_Northampton-Crossings</t>
  </si>
  <si>
    <t>RR_Surface_PMAX_Franch_LVRB_Value-Mix_Adult-Non-Burger_334_Airport-Road</t>
  </si>
  <si>
    <t>RR_Surface_PMAX_Franch_LVRB_Value-Mix_Adult-Non-Burger_468_Hamburg</t>
  </si>
  <si>
    <t>RR_Surface_PMAX_Franch_Ansara_Value-Mix_Adult-Non-Burger_495_Woodland-Mall-(Kentwood)</t>
  </si>
  <si>
    <t>RR_Surface_PMAX_Franch_Ansara_Value-Mix_Adult-Non-Burger_498_Fallen-Timbers</t>
  </si>
  <si>
    <t>RR_Surface_PMAX_Franch_Ansara_Value-Mix_Adult-Non-Burger_384_Toledo</t>
  </si>
  <si>
    <t>RR_Surface_PMAX_Franch_Ansara_Value-Mix_Adult-Non-Burger_387_Livonia</t>
  </si>
  <si>
    <t>RR_Surface_PMAX_Franch_Ansara_Value-Mix_Adult-Non-Burger_377_Westland</t>
  </si>
  <si>
    <t>RR_Surface_PMAX_Franch_Ansara_Value-Mix_Adult-Non-Burger_375_Novi</t>
  </si>
  <si>
    <t>RR_Surface_PMAX_Franch_LVRB_Value-Mix_Adult-Non-Burger_467_Mill-Creek</t>
  </si>
  <si>
    <t>RR_Surface_PMAX_Franch_LVRB_Value-Mix_Adult-Non-Burger_340_Saucon-Valley</t>
  </si>
  <si>
    <t>RR_Surface_PMAX_Franch_LVRB_Value-Mix_Adult-Non-Burger_333_Paxton-Towne-Center</t>
  </si>
  <si>
    <t>RR_Surface_PMAX_Franch_LVRB_Value-Mix_Adult-Non-Burger_471_Providence-Town-Center</t>
  </si>
  <si>
    <t>RR_Surface_PMAX_Franch_Ansara_Value-Mix_Adult-Non-Burger_492_Grandville</t>
  </si>
  <si>
    <t>RR_Surface_PMAX_Franch_LVRB_Value-Mix_Adult-Non-Burger_325_Tilghman-Square</t>
  </si>
  <si>
    <t>RR_Surface_PMAX_Franch_LVRB_Value-Mix_Adult-Non-Burger_327_Hershey</t>
  </si>
  <si>
    <t>RR_Surface_PMAX_Franch_Ansara_Value-Mix_Adult-Non-Burger_386_Delta-Township</t>
  </si>
  <si>
    <t>RR_Surface_PMAX_Franch_Ansara_Value-Mix_Adult-Non-Burger_380_Roseville</t>
  </si>
  <si>
    <t>RR_Surface_PMAX_Franch_Ansara_Value-Mix_Adult-Non-Burger_382_Brighton</t>
  </si>
  <si>
    <t>RR_Surface_PMAX_Franch_LVRB_Value-Mix_Adult-Non-Burger_324_Quakertown</t>
  </si>
  <si>
    <t>RR_Surface_PMAX_Franch_LVRB_Value-Mix_Adult-Non-Burger_491_York</t>
  </si>
  <si>
    <t>RR_Surface_PMAX_Franch_LVRB_Value-Mix_Adult-Non-Burger_335_Wilkes-Barre</t>
  </si>
  <si>
    <t>RR_Surface_PMAX_Franch_Ansara_Value-Mix_Adult-Non-Burger_388_Flint</t>
  </si>
  <si>
    <t>RR_Surface_PMAX_Franch_Ansara_Value-Mix_Adult-Non-Burger_494_Commerce</t>
  </si>
  <si>
    <t>RR_Surface_PMAX_Franch_LVRB_Value-Mix_Adult-Non-Burger_465_Selinsgrove</t>
  </si>
  <si>
    <t>RR_Surface_PMAX_Franch_Ansara_Value-Mix_Adult-Non-Burger_497_Muskegon</t>
  </si>
  <si>
    <t>RR_Surface_PMAX_Franch_Ansara_Value-Mix_Adult-Non-Burger_378_Southgate</t>
  </si>
  <si>
    <t>RR_Surface_PMAX_Franch_Ansara_Value-Mix_Adult-Non-Burger_389_Troy</t>
  </si>
  <si>
    <t>RR_Surface_PMAX_Franch_LVRB_Value-Mix_Adult-Non-Burger_338_Carlisle-Crossings</t>
  </si>
  <si>
    <t>RR_Surface_PMAX_Franch_Ansara_Value-Mix_Adult-Non-Burger_385_Clinton-Township</t>
  </si>
  <si>
    <t>RR_Surface_PMAX_Franch_Ansara_Value-Mix_Adult-Non-Burger_493_Portage</t>
  </si>
  <si>
    <t>RR_Surface_PMAX_Franch_LVRB_Value-Mix_Adult-Non-Burger_463_Chambersburg</t>
  </si>
  <si>
    <t>RR_Surface_PMAX_Franch_LVRB_Value-Mix_Adult-Non-Burger_336_Neshaminy</t>
  </si>
  <si>
    <t>RR_Surface_PMAX_Franch_Ansara_Value-Mix_Adult-Non-Burger_383_Pittsfield-Township</t>
  </si>
  <si>
    <t>RR_Surface_PMAX_Franch_Ansara_Value-Mix_Adult-Non-Burger_379_Madison-Heights</t>
  </si>
  <si>
    <t>RR_Surface_PMAX_Franch_LVRB_Value-Mix_Adult-Non-Burger_337_Dickson-City</t>
  </si>
  <si>
    <t>RR_Surface_SEM_Brand_Donatos</t>
  </si>
  <si>
    <t>Search</t>
  </si>
  <si>
    <t>RR_Surface_PMAX_Donatos</t>
  </si>
  <si>
    <t>RR_Surface_Youtube_Everyday-Non-Burger_Value-Mix_746_Metro-Center</t>
  </si>
  <si>
    <t>Demand Gen</t>
  </si>
  <si>
    <t>RR_Surface_Youtube_Core-Bar/Adult_Value-Mix_459_Silverado-Ranch</t>
  </si>
  <si>
    <t>RR_Surface_Youtube_Corp_Core-Burger_Value-Mix_731_Chubbuck</t>
  </si>
  <si>
    <t>RR_Surface_Youtube_Core-Bar/Adult_Value-Mix_458_Summerlin</t>
  </si>
  <si>
    <t>RR_Surface_Youtube_Corp_Growing-Burger_Value-Mix_429_Oswego</t>
  </si>
  <si>
    <t>RR_Surface_Youtube_Everyday-Non-Burger_Value-Mix_62_Powers</t>
  </si>
  <si>
    <t>RR_Surface_Youtube_Everyday-Non-Burger_Value-Mix_15_Broadmoor</t>
  </si>
  <si>
    <t>RR_Surface_Youtube_Corp_Growing-Burger_Value-Mix_436_Metropolis</t>
  </si>
  <si>
    <t>RR_Surface_Youtube_Corp_Growing-Burger_Value-Mix_650_Valparaiso</t>
  </si>
  <si>
    <t>RR_Surface_Youtube_Corp_Bar-Driven-Promo_Value-Mix_89_Corona</t>
  </si>
  <si>
    <t>RR_Surface_Youtube_Corp_Bar-Driven-Promo_Value-Mix_596_Whittier</t>
  </si>
  <si>
    <t>RR_Surface_Youtube_Everyday-Non-Burger_Value-Mix_438_Sparks</t>
  </si>
  <si>
    <t>RR_Surface_Youtube_Corp_Growing-Burger_Value-Mix_451_South-Plainfield</t>
  </si>
  <si>
    <t>RR_Surface_Youtube_Corp_Growing-Burger_Value-Mix_563_Wiregrass</t>
  </si>
  <si>
    <t>RR_Surface_Youtube_Corp_Premium-Families_Value-Mix_671_The-District</t>
  </si>
  <si>
    <t>RR_Surface_Youtube_Corp_Bar-Driven-Promo_Value-Mix_46_San-Dimas</t>
  </si>
  <si>
    <t>RR_Surface_Youtube_Growing-Burger_Value-Mix_207_Chapel-Hills</t>
  </si>
  <si>
    <t>RR_Surface_Youtube_Corp_Growing-Burger_Value-Mix_261_Idaho-Falls</t>
  </si>
  <si>
    <t>RR_Surface_Youtube_Corp_Core-Non-Burger_Value-Mix_752_Glendale</t>
  </si>
  <si>
    <t>RR_Surface_Youtube_Corp_Core-Non-Burger_Value-Mix_591_Lincoln</t>
  </si>
  <si>
    <t>RR_Surface_Youtube_Corp_Premium-Families_Value-Mix_490_Denver-West</t>
  </si>
  <si>
    <t>RR_Surface_Youtube_Corp_Growing-Burger_Value-Mix_321_Oakwood-Commons-Plaza</t>
  </si>
  <si>
    <t>RR_Surface_Youtube_Growing-Burger_Value-Mix_713_Vestal</t>
  </si>
  <si>
    <t>RR_Surface_Youtube_Corp_Growing-Burger_Value-Mix_554_International-Drive</t>
  </si>
  <si>
    <t>RR_Surface_Youtube_Growing-Burger_Value-Mix_481_Henrietta</t>
  </si>
  <si>
    <t>RR_Surface_Youtube_Corp_Core-Bar/Adult_Value-Mix_678_Candlewood-Center</t>
  </si>
  <si>
    <t>RR_Surface_Youtube_Corp_Premium-Families_Value-Mix_548_Avenue-Forsyth</t>
  </si>
  <si>
    <t>RR_Surface_Youtube_Corp_Core-Burger_Value-Mix_639_Palm-Beach</t>
  </si>
  <si>
    <t>RR_Surface_Youtube_Everyday-Non-Burger_Value-Mix_220_Westpark</t>
  </si>
  <si>
    <t>RR_Surface_Youtube_Core-Burger_Value-Mix_550_Sanford</t>
  </si>
  <si>
    <t>RR_Surface_SEM_Brand_Corp_Phrase</t>
  </si>
  <si>
    <t>RR_Surface_Youtube_Premium-Families_Value-Mix_47_Brea</t>
  </si>
  <si>
    <t>RR_Surface_Youtube_Core-Non-Burger_Value-Mix_225_Century-Rio</t>
  </si>
  <si>
    <t>RR_Surface_SEM_Brand_Franch_Phrase</t>
  </si>
  <si>
    <t>RR_Surface_Youtube_Core-Bar/Adult_Value-Mix_197_Elk-Grove</t>
  </si>
  <si>
    <t>RR_Surface_Youtube_Corp_Core-Burger_Value-Mix_562_Port-Orange</t>
  </si>
  <si>
    <t>RR_Surface_Youtube_Core-Bar/Adult_Value-Mix_21_Santa-Ana</t>
  </si>
  <si>
    <t>RR_Surface_Youtube_Everyday-Non-Burger_Value-Mix_739_Irvington</t>
  </si>
  <si>
    <t>RR_Surface_Youtube_Corp_Core-Non-Burger_Value-Mix_597_Riverbank</t>
  </si>
  <si>
    <t>RR_Surface_SEM_Brand_Corp_Exact</t>
  </si>
  <si>
    <t>RR_Surface_Youtube_Core-Burger_Value-Mix_227_West-Kissimmee</t>
  </si>
  <si>
    <t>RR_Surface_SEM_Brand_Corp_Geo</t>
  </si>
  <si>
    <t>RR_Surface_Youtube_Corp_Bar-Driven-Promo_Value-Mix_677_Woodland</t>
  </si>
  <si>
    <t>RR_Surface_Youtube_Corp_Bar-Driven-Promo_Value-Mix_93_Chino</t>
  </si>
  <si>
    <t>RR_Surface_Youtube_Corp_Core-Burger_Value-Mix_616_Springfield</t>
  </si>
  <si>
    <t>RR_Surface_Youtube_Premium-Families_Value-Mix_102_Rivermark</t>
  </si>
  <si>
    <t>RR_Surface_Youtube_Premium-Families_Value-Mix_592_Hemet</t>
  </si>
  <si>
    <t>RR_Surface_Youtube_Everyday-Non-Burger_Value-Mix_394_Happy-Valley</t>
  </si>
  <si>
    <t>RR_Surface_Youtube_Core-Bar/Adult_Value-Mix_208_Havana</t>
  </si>
  <si>
    <t>RR_Surface_Youtube_Corp_Growing-Burger_Value-Mix_347_Reno</t>
  </si>
  <si>
    <t>RR_Surface_SEM_Brand_Corp_Competitor</t>
  </si>
  <si>
    <t>RR_Surface_Youtube_Corp_Bar-Driven-Promo_Value-Mix_589_Jess-Ranch</t>
  </si>
  <si>
    <t>RR_Surface_Youtube_Corp_Bar-Driven-Promo_Value-Mix_598_Redlands</t>
  </si>
  <si>
    <t>RR_Surface_SEM_Brand_Corp_Menu</t>
  </si>
  <si>
    <t>RR_Surface_PMAX_Corp_Value_Core-Non-Burger_87_Tanasbourne</t>
  </si>
  <si>
    <t>RR_Surface_PMAX_Corp_Value_Premium-Families_23_Dulles-Town-Center</t>
  </si>
  <si>
    <t>RR_Surface_PMAX_Corp_Value_Core-Bar_208_Havana</t>
  </si>
  <si>
    <t>RR_Surface_PMAX_Corp_Value_Everyday-Non-Burger_221_Nampa</t>
  </si>
  <si>
    <t>RR_Surface_PMAX_Corp_Value_Premium-Families_17_Alderwood</t>
  </si>
  <si>
    <t>RR_Surface_PMAX_Corp_Value_Growing-Burger_153_Glen-Allen</t>
  </si>
  <si>
    <t>RR_Surface_PMAX_Corp_Value_Core-Non-Burger_70_Redding</t>
  </si>
  <si>
    <t>RR_Surface_PMAX_Corp_Value_Bar-Driven-Promo_89_Corona</t>
  </si>
  <si>
    <t>RR_Surface_PMAX_Corp_Value_Core-Non-Burger_169_Mill-Plain</t>
  </si>
  <si>
    <t>RR_Surface_PMAX_Corp_Value_Core-Bar_161_Tacoma</t>
  </si>
  <si>
    <t>RR_Surface_PMAX_Corp_Value_Core-Non-Burger_94_Centennial</t>
  </si>
  <si>
    <t>RR_Surface_PMAX_Corp_Value_Core-Non-Burger_72_Spokane</t>
  </si>
  <si>
    <t>RR_Surface_PMAX_Corp_Value_Bar-Driven-Promo_244_Bakersfield</t>
  </si>
  <si>
    <t>RR_Surface_PMAX_Corp_Value_Core-Non-Burger_231_Kennewick</t>
  </si>
  <si>
    <t>RR_Surface_PMAX_Corp_Value_Core-Non-Burger_171_Skagit-Valley</t>
  </si>
  <si>
    <t>RR_Surface_PMAX_Corp_Value_Core-Non-Burger_120_Waldorf</t>
  </si>
  <si>
    <t>RR_Surface_PMAX_Corp_Value_Adult-Non-Burger_92_Lloyd-Center</t>
  </si>
  <si>
    <t>RR_Surface_PMAX_Corp_Value_Core-Bar_160_West-Covina</t>
  </si>
  <si>
    <t>RR_Surface_PMAX_Corp_Value_Growing-Burger_319_Latham</t>
  </si>
  <si>
    <t>RR_Surface_PMAX_Corp_Value_Everyday-Non-Burger_80_Arrowhead</t>
  </si>
  <si>
    <t>RR_Surface_PMAX_Corp_Value_Core-Non-Burger_90_Citrus-Heights</t>
  </si>
  <si>
    <t>RR_Surface_PMAX_Corp_Value_Core-Non-Burger_248_Pacific-View-Mall</t>
  </si>
  <si>
    <t>RR_Surface_PMAX_Corp_Value_Premium-Families_192_Sun-Valley-Mall</t>
  </si>
  <si>
    <t>RR_Surface_PMAX_Corp_Value_Growing-Burger_215_Dubuque</t>
  </si>
  <si>
    <t>RR_Surface_PMAX_Corp_Value_Core-Non-Burger_49_Creekside-Town-Center</t>
  </si>
  <si>
    <t>RR_Surface_PMAX_Corp_Value_Premium-Families_194_Eastridge</t>
  </si>
  <si>
    <t>RR_Surface_PMAX_Corp_Value_Premium-Families_206_Arapahoe</t>
  </si>
  <si>
    <t>RR_Surface_PMAX_Corp_Value_Growing-Burger_203_Lakewood</t>
  </si>
  <si>
    <t>RR_Surface_PMAX_Corp_Value_Adult-Non-Burger_262_St-George</t>
  </si>
  <si>
    <t>RR_Surface_PMAX_Corp_Value_Adult-Non-Burger_222_Cottonwood</t>
  </si>
  <si>
    <t>RR_Surface_PMAX_Corp_Value_Growing-Burger_295_Des-Peres</t>
  </si>
  <si>
    <t>RR_Surface_PMAX_Corp_Value_Premium-Families_211_Highlands-Ranch</t>
  </si>
  <si>
    <t>RR_Surface_PMAX_Corp_Value_Core-Non-Burger_309_Lake-Havasu-City</t>
  </si>
  <si>
    <t>RR_Surface_PMAX_Corp_Value_Core-Non-Burger_55_Eugene</t>
  </si>
  <si>
    <t>RR_Surface_PMAX_Corp_Value_Premium-Families_77_Washington-Square</t>
  </si>
  <si>
    <t>RR_Surface_PMAX_Corp_Value_Bar-Driven-Promo_93_Chino</t>
  </si>
  <si>
    <t>RR_Surface_PMAX_Corp_Value_Core-Burger_227_West-Kissimmee</t>
  </si>
  <si>
    <t>RR_Surface_PMAX_Corp_Value_Core-Bar_254_Northridge-Mall</t>
  </si>
  <si>
    <t>RR_Surface_PMAX_Corp_Value_Core-Non-Burger_158_Temecula</t>
  </si>
  <si>
    <t>RR_Surface_PMAX_Corp_Value_Bar-Driven-Promo_243_La-Quinta</t>
  </si>
  <si>
    <t>RR_Surface_PMAX_Corp_Value_Core-Burger_299_Grove-City</t>
  </si>
  <si>
    <t>RR_Surface_PMAX_Corp_Value_Core-Burger_121_West-Chester</t>
  </si>
  <si>
    <t>RR_Surface_PMAX_Corp_Value_Growing-Burger_154_Rocky-River</t>
  </si>
  <si>
    <t>RR_Surface_PMAX_Corp_Value_Growing-Burger_224_Woodfield</t>
  </si>
  <si>
    <t>RR_Surface_PMAX_Corp_Value_Growing-Burger_176_Corbin's-Corner</t>
  </si>
  <si>
    <t>RR_Surface_PMAX_Corp_Value_Core-Bar_200_Southcenter</t>
  </si>
  <si>
    <t>RR_Surface_PMAX_Corp_Value_Core-Burger_307_Waterfront</t>
  </si>
  <si>
    <t>RR_Surface_PMAX_Corp_Value_Core-Burger_109_Baybrook</t>
  </si>
  <si>
    <t>RR_Surface_PMAX_Corp_Value_Premium-Families_103_Fairlakes</t>
  </si>
  <si>
    <t>RR_Surface_PMAX_Corp_Value_Premium-Families_134_Redmond-Town-Center</t>
  </si>
  <si>
    <t>RR_Surface_PMAX_Corp_Value_Everyday-Non-Burger_68_Longmont</t>
  </si>
  <si>
    <t>RR_Surface_PMAX_Corp_Value_Core-Burger_143_Richmond-Heights</t>
  </si>
  <si>
    <t>RR_Surface_PMAX_Corp_Value_Premium-Families_193_San-Bruno</t>
  </si>
  <si>
    <t>RR_Surface_PMAX_Corp_Value_Core-Burger_266_Castleton</t>
  </si>
  <si>
    <t>RR_Surface_PMAX_Corp_Value_Core-Bar_166_Kent</t>
  </si>
  <si>
    <t>RR_Surface_PMAX_Corp_Value_Core-Bar_144_Owings-Mills</t>
  </si>
  <si>
    <t>RR_Surface_PMAX_Corp_Value_Growing-Burger_99_Short-Pump-Town-Center</t>
  </si>
  <si>
    <t>RR_Surface_PMAX_Corp_Value_Adult-Non-Burger_67_Prescott</t>
  </si>
  <si>
    <t>RR_Surface_PMAX_Corp_Value_Growing-Burger_75_Columbia-Crossing</t>
  </si>
  <si>
    <t>RR_Surface_PMAX_Corp_Value_Core-Bar_21_Santa-Ana</t>
  </si>
  <si>
    <t>RR_Surface_PMAX_Corp_Value_Growing-Burger_207_Chapel-Hills</t>
  </si>
  <si>
    <t>RR_Surface_PMAX_Corp_Value_Growing-Burger_173_Enfield</t>
  </si>
  <si>
    <t>RR_Surface_PMAX_Corp_Value_Everyday-Non-Burger_204_Arvada</t>
  </si>
  <si>
    <t>RR_Surface_PMAX_Corp_Value_Core-Burger_298_Norman</t>
  </si>
  <si>
    <t>RR_Surface_PMAX_Corp_Value_Core-Non-Burger_164_Silverdale</t>
  </si>
  <si>
    <t>RR_Surface_PMAX_Corp_Value_Core-Bar_197_Elk-Grove</t>
  </si>
  <si>
    <t>RR_Surface_PMAX_Corp_Value_Premium-Families_174_Buckland-Hills</t>
  </si>
  <si>
    <t>RR_Surface_PMAX_Corp_Value_Adult-Non-Burger_249_Universal-Park</t>
  </si>
  <si>
    <t>RR_Surface_PMAX_Corp_Value_Growing-Burger_124_Wilmington</t>
  </si>
  <si>
    <t>RR_Surface_PMAX_Corp_Value_Adult-Non-Burger_125_Gateway-Pavilions</t>
  </si>
  <si>
    <t>RR_Surface_PMAX_Corp_Value_Core-Burger_73_Mid-Rivers</t>
  </si>
  <si>
    <t>RR_Surface_PMAX_Corp_Value_Core-Non-Burger_135_Spokane-Valley</t>
  </si>
  <si>
    <t>RR_Surface_PMAX_Corp_Value_Adult-Non-Burger_225_Century-Rio</t>
  </si>
  <si>
    <t>RR_Surface_PMAX_Corp_Value_Premium-Families_133_Woodinville</t>
  </si>
  <si>
    <t>RR_Surface_PMAX_Corp_Value_Core-Burger_123_Broken-Arrow</t>
  </si>
  <si>
    <t>RR_Surface_PMAX_Corp_Value_Core-Non-Burger_268_Queen-Creek</t>
  </si>
  <si>
    <t>RR_Surface_PMAX_Corp_Value_Growing-Burger_320_Fayeteville-TC</t>
  </si>
  <si>
    <t>RR_Surface_PMAX_Corp_Value_Bar-Driven-Promo_253_Rancho-Mirage</t>
  </si>
  <si>
    <t>RR_Surface_PMAX_Corp_Value_Growing-Burger_178_Holyoke</t>
  </si>
  <si>
    <t>RR_Surface_PMAX_Corp_Value_Core-Burger_258_Newnan-Crossing</t>
  </si>
  <si>
    <t>RR_Surface_PMAX_Corp_Value_Core-Non-Burger_81_Hillsboro</t>
  </si>
  <si>
    <t>RR_Surface_PMAX_Corp_Value_Core-Non-Burger_151_Spokane-Downtown</t>
  </si>
  <si>
    <t>RR_Surface_PMAX_Corp_Value_Core-Bar_146_Garden-Grove</t>
  </si>
  <si>
    <t>RR_Surface_PMAX_Corp_Value_Core-Non-Burger_165_Olympia</t>
  </si>
  <si>
    <t>RR_Surface_PMAX_Corp_Value_Core-Bar_168_Des-Moines</t>
  </si>
  <si>
    <t>RR_Surface_PMAX_Corp_Value_Core-Non-Burger_44_Everett</t>
  </si>
  <si>
    <t>RR_Surface_PMAX_Corp_Value_Adult-Non-Burger_141_Oxnard</t>
  </si>
  <si>
    <t>RR_Surface_PMAX_Corp_Value_Core-Non-Burger_257_Simi-Valley</t>
  </si>
  <si>
    <t>RR_Surface_PMAX_Corp_Value_Growing-Burger_216_Trinity-Point</t>
  </si>
  <si>
    <t>RR_Surface_PMAX_Corp_Value_Adult-Non-Burger_219_Greeley</t>
  </si>
  <si>
    <t>RR_Surface_PMAX_Corp_Value_Core-Non-Burger_245_Visalia</t>
  </si>
  <si>
    <t>RR_Surface_PMAX_Corp_Value_Core-Non-Burger_239_Clovis</t>
  </si>
  <si>
    <t>RR_Surface_PMAX_Corp_Value_Core-Non-Burger_230_Yakima</t>
  </si>
  <si>
    <t>RR_Surface_PMAX_Corp_Value_Growing-Burger_88_Grayhawk</t>
  </si>
  <si>
    <t>RR_Surface_PMAX_Corp_Value_Core-Non-Burger_296_Turlock</t>
  </si>
  <si>
    <t>RR_Surface_PMAX_Corp_Value_Adult-Non-Burger_127_Brighton</t>
  </si>
  <si>
    <t>RR_Surface_PMAX_Corp_Value_Core-Non-Burger_33_Escondido</t>
  </si>
  <si>
    <t>RR_Surface_PMAX_Corp_Value_Premium-Families_209_Fort-Collins</t>
  </si>
  <si>
    <t>RR_Surface_PMAX_Corp_Value_Adult-Non-Burger_84_Chandler</t>
  </si>
  <si>
    <t>RR_Surface_PMAX_Corp_Value_Core-Non-Burger_162_Vancouver-Mall</t>
  </si>
  <si>
    <t>RR_Surface_PMAX_Corp_Value_Bar-Driven-Promo_247_Santa-Maria</t>
  </si>
  <si>
    <t>RR_Surface_PMAX_Corp_Value_Core-Non-Burger_163_Federal-Way</t>
  </si>
  <si>
    <t>RR_Surface_PMAX_Corp_Value_Core-Burger_234_Rome-Hilliard</t>
  </si>
  <si>
    <t>RR_Surface_PMAX_Corp_Value_Core-Non-Burger_25_Wenatchee</t>
  </si>
  <si>
    <t>RR_Surface_PMAX_Corp_Value_Core-Burger_116_Potomac-Mills</t>
  </si>
  <si>
    <t>RR_Surface_PMAX_Corp_Value_Bar-Driven-Promo_46_San-Dimas</t>
  </si>
  <si>
    <t>RR_Surface_PMAX_Corp_Value_Core-Bar_24_Galleria</t>
  </si>
  <si>
    <t>RR_Surface_PMAX_Corp_Value_Core-Burger_294_Rogers</t>
  </si>
  <si>
    <t>RR_Surface_PMAX_Corp_Value_Premium-Families_102_Rivermark</t>
  </si>
  <si>
    <t>RR_Surface_PMAX_Corp_Value_Core-Burger_140_Ocala</t>
  </si>
  <si>
    <t>RR_Surface_PMAX_Corp_Value_Bar-Driven-Promo_71_Victorville</t>
  </si>
  <si>
    <t>RR_Surface_PMAX_Corp_Value_Core-Non-Burger_142_Wilsonville</t>
  </si>
  <si>
    <t>RR_Surface_PMAX_Corp_Value_Everyday-Non-Burger_62_Powers</t>
  </si>
  <si>
    <t>RR_Surface_PMAX_Corp_Value_Everyday-Non-Burger_220_Westpark</t>
  </si>
  <si>
    <t>RR_Surface_PMAX_Corp_Value_Core-Non-Burger_213_Auburn-Super-Mall</t>
  </si>
  <si>
    <t>RR_Surface_PMAX_Corp_Value_Core-Non-Burger_175_Millbury</t>
  </si>
  <si>
    <t>RR_Surface_PMAX_Corp_Value_Bar-Driven-Promo_246_Valencia</t>
  </si>
  <si>
    <t>RR_Surface_PMAX_Corp_Value_Growing-Burger_113_Rutherford-Crossing</t>
  </si>
  <si>
    <t>RR_Surface_PMAX_Corp_Value_Premium-Families_226_Cantera</t>
  </si>
  <si>
    <t>RR_Surface_PMAX_Corp_Value_Core-Burger_97_Milford</t>
  </si>
  <si>
    <t>RR_Surface_PMAX_Corp_Value_Premium-Families_20_FlatIrons-Crossing</t>
  </si>
  <si>
    <t>RR_Surface_PMAX_Corp_Value_Premium-Families_91_Western-Springs</t>
  </si>
  <si>
    <t>RR_Surface_PMAX_Corp_Value_Growing-Burger_104_North-Olmsted</t>
  </si>
  <si>
    <t>RR_Surface_PMAX_Corp_Value_Premium-Families_318_Crossing</t>
  </si>
  <si>
    <t>RR_Surface_PMAX_Corp_Value_Everyday-Non-Burger_202_Parkcenter</t>
  </si>
  <si>
    <t>RR_Surface_PMAX_Corp_Value_Core-Non-Burger_167_Puyallup</t>
  </si>
  <si>
    <t>RR_Surface_PMAX_Corp_Value_Adult-Non-Burger_263_Killeen</t>
  </si>
  <si>
    <t>RR_Surface_PMAX_Corp_Value_Core-Burger_217_Rockside</t>
  </si>
  <si>
    <t>RR_Surface_PMAX_Corp_Value_Core-Bar_306_Alexander-Place</t>
  </si>
  <si>
    <t>RR_Surface_PMAX_Corp_Value_Bar-Driven-Promo_56_La-Habra</t>
  </si>
  <si>
    <t>RR_Surface_PMAX_Corp_Value_Premium-Families_47_Brea</t>
  </si>
  <si>
    <t>RR_Surface_PMAX_Corp_Value_Growing-Burger_261_Idaho-Falls</t>
  </si>
  <si>
    <t>RR_Surface_PMAX_Corp_Value_Growing-Burger_321_Oakwood-Commons-Plaza</t>
  </si>
  <si>
    <t>RR_Surface_PMAX_Corp_Value_Core-Burger_198_Beavercreek</t>
  </si>
  <si>
    <t>RR_Surface_PMAX_Corp_Value_Core-Non-Burger_170_Bellingham</t>
  </si>
  <si>
    <t>RR_Surface_PMAX_Corp_Value_Bar-Driven-Promo_241_Palmdale</t>
  </si>
  <si>
    <t>RR_Surface_PMAX_Corp_Value_Premium-Families_156_Germantown</t>
  </si>
  <si>
    <t>RR_Surface_PMAX_Corp_Value_Growing-Burger_105_Oxford-Valley</t>
  </si>
  <si>
    <t>RR_Surface_PMAX_Corp_Value_Premium-Families_96_Castle-Rock</t>
  </si>
  <si>
    <t>RR_Surface_PMAX_Corp_Value_Growing-Burger_118_Grand-Junction</t>
  </si>
  <si>
    <t>RR_Surface_PMAX_Corp_Value_Growing-Burger_117_South-Ridge</t>
  </si>
  <si>
    <t>RR_Surface_PMAX_Corp_Value_Premium-Families_147_Factoria-Mall</t>
  </si>
  <si>
    <t>RR_Surface_PMAX_Corp_Value_Premium-Families_210_Bowles</t>
  </si>
  <si>
    <t>RR_Surface_PMAX_Corp_Value_Core-Non-Burger_12_Northgate</t>
  </si>
  <si>
    <t>RR_Surface_PMAX_Corp_Value_Core-Bar_152_Sunset-Galleria</t>
  </si>
  <si>
    <t>RR_Surface_PMAX_Corp_Value_Core-Non-Burger_15_Broadmoor</t>
  </si>
  <si>
    <t>RR_Surface_PMAX_Corp_Value_Growing-Burger_255_Patrick-Henry-Mall</t>
  </si>
  <si>
    <t>RR_Surface_PMAX_Corp_Value_Core-Non-Burger_51_Salem</t>
  </si>
  <si>
    <t>RR_Surface_PMAX_Corp_Value_Core-Non-Burger_78_Yuba-City</t>
  </si>
  <si>
    <t>RR_Surface_PMAX_Corp_Value_Premium-Families_48_Crown-Point</t>
  </si>
  <si>
    <t>RR_Surface_PMAX_Corp_Value_Core-Non-Burger_43_Clackamas</t>
  </si>
  <si>
    <t>RR_Surface_PMAX_Corp_Value_Growing-Burger_98_Avon-Commons</t>
  </si>
  <si>
    <t>RR_Surface_PMAX_Corp_Value_Core-Bar_256_Durham</t>
  </si>
  <si>
    <t>RR_Surface_PMAX_Corp_Value_Growing-Burger_95_Riverside</t>
  </si>
  <si>
    <t>RR_Surface_PMAX_Corp_Value_Core-Burger_557_Jones-Valley</t>
  </si>
  <si>
    <t>RR_Surface_PMAX_Corp_Value_Adult-Non-Burger_575_Jacksonville</t>
  </si>
  <si>
    <t>RR_Surface_PMAX_Corp_Value_Growing-Burger_625_Greenfield</t>
  </si>
  <si>
    <t>RR_Surface_PMAX_Corp_Value_Adult-Non-Burger_568_Cross-Creek-Mall</t>
  </si>
  <si>
    <t>RR_Surface_PMAX_Corp_Value_Growing-Burger_614_O'Fallon</t>
  </si>
  <si>
    <t>RR_Surface_PMAX_Corp_Value_Premium-Families_513_Rockingham-Mall</t>
  </si>
  <si>
    <t>RR_Surface_PMAX_Corp_Value_Core-Non-Burger_533_Portland-Airport</t>
  </si>
  <si>
    <t>RR_Surface_PMAX_Corp_Value_Bar-Driven-Promo_589_Jess-Ranch</t>
  </si>
  <si>
    <t>RR_Surface_PMAX_Corp_Value_Core-Burger_722_Slidell</t>
  </si>
  <si>
    <t>RR_Surface_PMAX_Corp_Value_Core-Bar_678_Candlewood-Center</t>
  </si>
  <si>
    <t>RR_Surface_PMAX_Corp_Value_Premium-Families_539_Renton</t>
  </si>
  <si>
    <t>RR_Surface_PMAX_Corp_Value_Core-Burger_741_Hanes-Mall</t>
  </si>
  <si>
    <t>RR_Surface_PMAX_Corp_Value_Core-Burger_581_Roanoke</t>
  </si>
  <si>
    <t>RR_Surface_PMAX_Corp_Value_Growing-Burger_586_Chesterfield-Town-Center</t>
  </si>
  <si>
    <t>RR_Surface_PMAX_Corp_Value_Core-Burger_699_Davenport</t>
  </si>
  <si>
    <t>RR_Surface_PMAX_Corp_Value_Everyday-Non-Burger_717_Lexington-Park</t>
  </si>
  <si>
    <t>RR_Surface_PMAX_Corp_Value_Core-Burger_545_Webb-Gin</t>
  </si>
  <si>
    <t>RR_Surface_PMAX_Corp_Value_Premium-Families_548_Avenue-Forsyth</t>
  </si>
  <si>
    <t>RR_Surface_PMAX_Corp_Value_Adult-Non-Burger_752_Glendale</t>
  </si>
  <si>
    <t>RR_Surface_PMAX_Corp_Value_Premium-Families_682_Noblesville</t>
  </si>
  <si>
    <t>RR_Surface_PMAX_Corp_Value_Premium-Families_595_Foothill-Ranch</t>
  </si>
  <si>
    <t>RR_Surface_PMAX_Corp_Value_Everyday-Non-Burger_525_Goodyear</t>
  </si>
  <si>
    <t>RR_Surface_PMAX_Corp_Value_Core-Non-Burger_597_Riverbank</t>
  </si>
  <si>
    <t>RR_Surface_PMAX_Corp_Value_Core-Non-Burger_531_Woodburn</t>
  </si>
  <si>
    <t>RR_Surface_PMAX_Corp_Value_Core-Burger_626_Kenosha</t>
  </si>
  <si>
    <t>RR_Surface_PMAX_Corp_Value_Core-Burger_711_Turkey-Creek</t>
  </si>
  <si>
    <t>RR_Surface_PMAX_Corp_Value_Core-Burger_708_Indian-Lake</t>
  </si>
  <si>
    <t>RR_Surface_PMAX_Corp_Value_Core-Bar_738_St-Johns</t>
  </si>
  <si>
    <t>RR_Surface_PMAX_Corp_Value_Adult-Non-Burger_729_Sioux-Falls</t>
  </si>
  <si>
    <t>RR_Surface_PMAX_Corp_Value_Core-Burger_574_Alamance-Crossing</t>
  </si>
  <si>
    <t>RR_Surface_PMAX_Corp_Value_Core-Non-Burger_538_Bonney-Lake</t>
  </si>
  <si>
    <t>RR_Surface_PMAX_Corp_Value_Core-Burger_712_Spring-Hill</t>
  </si>
  <si>
    <t>RR_Surface_PMAX_Corp_Value_Bar-Driven-Promo_677_Woodland</t>
  </si>
  <si>
    <t>RR_Surface_PMAX_Corp_Value_Core-Burger_550_Sanford</t>
  </si>
  <si>
    <t>RR_Surface_PMAX_Corp_Value_Growing-Burger_603_Polaris</t>
  </si>
  <si>
    <t>RR_Surface_PMAX_Corp_Value_Core-Non-Burger_517_Augusta</t>
  </si>
  <si>
    <t>RR_Surface_PMAX_Corp_Value_Premium-Families_515_Pheasant-Lane-Mall</t>
  </si>
  <si>
    <t>RR_Surface_PMAX_Corp_Value_Premium-Families_534_Tualatin</t>
  </si>
  <si>
    <t>RR_Surface_PMAX_Corp_Value_Core-Burger_651_Evansville</t>
  </si>
  <si>
    <t>RR_Surface_PMAX_Corp_Value_Adult-Non-Burger_746_Metro-Center</t>
  </si>
  <si>
    <t>RR_Surface_PMAX_Corp_Value_Growing-Burger_649_Hobart</t>
  </si>
  <si>
    <t>RR_Surface_PMAX_Corp_Value_Bar-Driven-Promo_596_Whittier</t>
  </si>
  <si>
    <t>RR_Surface_PMAX_Corp_Value_Growing-Burger_516_South-Portland</t>
  </si>
  <si>
    <t>RR_Surface_PMAX_Corp_Value_Growing-Burger_719_Bowie</t>
  </si>
  <si>
    <t>RR_Surface_PMAX_Corp_Value_Growing-Burger_628_Brookfield</t>
  </si>
  <si>
    <t>RR_Surface_PMAX_Corp_Value_Premium-Families_697_Cedar-Park</t>
  </si>
  <si>
    <t>RR_Surface_PMAX_Corp_Value_Bar-Driven-Promo_592_Hemet</t>
  </si>
  <si>
    <t>RR_Surface_PMAX_Corp_Value_Core-Non-Burger_587_Orchard-Town-Center</t>
  </si>
  <si>
    <t>RR_Surface_PMAX_Corp_Value_Everyday-Non-Burger_524_Gilbert</t>
  </si>
  <si>
    <t>RR_Surface_PMAX_Corp_Value_Growing-Burger_620_Green-Bay</t>
  </si>
  <si>
    <t>RR_Surface_PMAX_Corp_Value_Growing-Burger_582_Cosners-Corner</t>
  </si>
  <si>
    <t>RR_Surface_PMAX_Corp_Value_Premium-Families_716_Bel-Air</t>
  </si>
  <si>
    <t>RR_Surface_PMAX_Corp_Value_Growing-Burger_700_W-Des-Moines</t>
  </si>
  <si>
    <t>RR_Surface_PMAX_Corp_Value_Premium-Families_540_Bothell</t>
  </si>
  <si>
    <t>RR_Surface_PMAX_Corp_Value_Adult-Non-Burger_732_Mall-of-Georgia</t>
  </si>
  <si>
    <t>RR_Surface_PMAX_Corp_Value_Growing-Burger_650_Valparaiso</t>
  </si>
  <si>
    <t>RR_Surface_PMAX_Corp_Value_Core-Burger_731_Chubbuck</t>
  </si>
  <si>
    <t>RR_Surface_PMAX_Corp_Value_Core-Burger_704_Carriage-Crossing</t>
  </si>
  <si>
    <t>RR_Surface_PMAX_Corp_Value_Core-Burger_686_Lee-Vista</t>
  </si>
  <si>
    <t>RR_Surface_PMAX_Corp_Value_Core-Bar_623_Lakewood-Towne-Center</t>
  </si>
  <si>
    <t>RR_Surface_PMAX_Corp_Value_Core-Non-Burger_543_Lacey</t>
  </si>
  <si>
    <t>RR_Surface_PMAX_Corp_Value_Growing-Burger_564_Citrus-Park</t>
  </si>
  <si>
    <t>RR_Surface_PMAX_Corp_Value_Growing-Burger_572_Mooresville</t>
  </si>
  <si>
    <t>RR_Surface_PMAX_Corp_Value_Growing-Burger_631_Apple-Valley</t>
  </si>
  <si>
    <t>RR_Surface_PMAX_Corp_Value_Growing-Burger_695_Presidio</t>
  </si>
  <si>
    <t>RR_Surface_PMAX_Corp_Value_Core-Burger_747_Watertown</t>
  </si>
  <si>
    <t>RR_Surface_PMAX_Corp_Value_Adult-Non-Burger_645_Pensacola</t>
  </si>
  <si>
    <t>RR_Surface_PMAX_Corp_Value_Core-Non-Burger_591_Lincoln</t>
  </si>
  <si>
    <t>RR_Surface_PMAX_Corp_Value_Growing-Burger_526_Talking-Stick</t>
  </si>
  <si>
    <t>RR_Surface_PMAX_Corp_Value_Core-Burger_577_Columbiana-Mall</t>
  </si>
  <si>
    <t>RR_Surface_PMAX_Corp_Value_Growing-Burger_674_Papillion</t>
  </si>
  <si>
    <t>RR_Surface_PMAX_Corp_Value_Core-Burger_616_Springfield</t>
  </si>
  <si>
    <t>RR_Surface_PMAX_Corp_Value_Core-Burger_601_Canton</t>
  </si>
  <si>
    <t>RR_Surface_PMAX_Corp_Value_Growing-Burger_566_Countryside-Mall</t>
  </si>
  <si>
    <t>RR_Surface_PMAX_Corp_Value_Core-Burger_698_Cedar-Rapids</t>
  </si>
  <si>
    <t>RR_Surface_PMAX_Corp_Value_Growing-Burger_648_Schererville</t>
  </si>
  <si>
    <t>RR_Surface_PMAX_Corp_Value_Growing-Burger_565_Brandon-Town-Center</t>
  </si>
  <si>
    <t>RR_Surface_PMAX_Corp_Value_Core-Burger_536_Hulen-Mall</t>
  </si>
  <si>
    <t>RR_Surface_PMAX_Corp_Value_Core-Non-Burger_544_South-Puyallup</t>
  </si>
  <si>
    <t>RR_Surface_PMAX_Corp_Value_Core-Non-Burger_532_Sherwood</t>
  </si>
  <si>
    <t>RR_Surface_PMAX_Corp_Value_Growing-Burger_702_Murfreesboro</t>
  </si>
  <si>
    <t>RR_Surface_PMAX_Corp_Value_Core-Burger_710_Hamilton-Place</t>
  </si>
  <si>
    <t>RR_Surface_PMAX_Corp_Value_Core-Burger_683_Mishawaka</t>
  </si>
  <si>
    <t>RR_Surface_PMAX_Corp_Value_Growing-Burger_627_Eau-Claire</t>
  </si>
  <si>
    <t>RR_Surface_PMAX_Corp_Value_Core-Burger_665_Greenville</t>
  </si>
  <si>
    <t>RR_Surface_PMAX_Corp_Value_Growing-Burger_661_Deptford</t>
  </si>
  <si>
    <t>RR_Surface_PMAX_Corp_Value_Core-Burger_554_International-Drive</t>
  </si>
  <si>
    <t>RR_Surface_PMAX_Corp_Value_Core-Burger_579_Greenville-Grande</t>
  </si>
  <si>
    <t>RR_Surface_PMAX_Corp_Value_Bar-Driven-Promo_676_Plaza-Bonita</t>
  </si>
  <si>
    <t>RR_Surface_PMAX_Corp_Value_Core-Non-Burger_728_Battleground</t>
  </si>
  <si>
    <t>RR_Surface_PMAX_Corp_Value_Adult-Non-Burger_542_Vancouver</t>
  </si>
  <si>
    <t>RR_Surface_PMAX_Corp_Value_Core-Burger_556_East-Chase</t>
  </si>
  <si>
    <t>RR_Surface_PMAX_Corp_Value_Core-Burger_547_Mullins-Crossing</t>
  </si>
  <si>
    <t>RR_Surface_PMAX_Corp_Value_Growing-Burger_619_Fenton</t>
  </si>
  <si>
    <t>RR_Surface_PMAX_Corp_Value_Core-Burger_573_Wake-Forest</t>
  </si>
  <si>
    <t>RR_Surface_PMAX_Corp_Value_Growing-Burger_646_Gulf-Coast-Town-Center</t>
  </si>
  <si>
    <t>RR_Surface_PMAX_Corp_Value_Bar-Driven-Promo_599_Cypress</t>
  </si>
  <si>
    <t>RR_Surface_PMAX_Corp_Value_Core-Non-Burger_541_Covington</t>
  </si>
  <si>
    <t>RR_Surface_PMAX_Corp_Value_Growing-Burger_724_Wausau</t>
  </si>
  <si>
    <t>RR_Surface_PMAX_Corp_Value_Core-Burger_664_Brick</t>
  </si>
  <si>
    <t>RR_Surface_PMAX_Corp_Value_Core-Burger_569_Greensboro</t>
  </si>
  <si>
    <t>RR_Surface_PMAX_Corp_Value_Core-Bar_523_Tempe-Marketplace</t>
  </si>
  <si>
    <t>RR_Surface_PMAX_Corp_Value_Core-Non-Burger_624_Smokey-Point</t>
  </si>
  <si>
    <t>RR_Surface_PMAX_Corp_Value_Growing-Burger_736_Saratoga-Springs</t>
  </si>
  <si>
    <t>RR_Surface_PMAX_Corp_Value_Premium-Families_640_Plymouth</t>
  </si>
  <si>
    <t>RR_Surface_PMAX_Corp_Value_Growing-Burger_604_Willoughby</t>
  </si>
  <si>
    <t>RR_Surface_PMAX_Corp_Value_Bar-Driven-Promo_670_Tyler</t>
  </si>
  <si>
    <t>RR_Surface_PMAX_Corp_Value_Premium-Families_671_The-District</t>
  </si>
  <si>
    <t>RR_Surface_PMAX_Corp_Value_Core-Burger_639_Palm-Beach</t>
  </si>
  <si>
    <t>RR_Surface_PMAX_Corp_Value_Core-Non-Burger_590_Brentwood</t>
  </si>
  <si>
    <t>RR_Surface_PMAX_Corp_Value_Core-Burger_562_Port-Orange</t>
  </si>
  <si>
    <t>RR_Surface_PMAX_Corp_Value_Growing-Burger_621_Oshkosh</t>
  </si>
  <si>
    <t>RR_Surface_PMAX_Corp_Value_Core-Burger_748_Wichita-Falls</t>
  </si>
  <si>
    <t>RR_Surface_PMAX_Corp_Value_Growing-Burger_617_Dardenne-Prairie</t>
  </si>
  <si>
    <t>RR_Surface_PMAX_Corp_Value_Core-Non-Burger_598_Redlands</t>
  </si>
  <si>
    <t>RR_Surface_PMAX_Corp_Value_Premium-Families_593_Morgan-Hill</t>
  </si>
  <si>
    <t>RR_Surface_PMAX_Corp_Value_Core-Non-Burger_594_Menifee</t>
  </si>
  <si>
    <t>RR_Surface_PMAX_Corp_Value_Core-Burger_537_Lubbock</t>
  </si>
  <si>
    <t>RR_Surface_PMAX_Corp_Value_Adult-Non-Burger_563_Wiregrass</t>
  </si>
  <si>
    <t>RR_Surface_PMAX_Corp_Value_Adult-Non-Burger_652_Warwick</t>
  </si>
  <si>
    <t>RR_Surface_PMAX_Corp_Value_Growing-Burger_667_Columbia</t>
  </si>
  <si>
    <t>RR_Surface_PMAX_Corp_Value_Growing-Burger_713_Vestal</t>
  </si>
  <si>
    <t>RR_Surface_PMAX_Corp_Value_Growing-Burger_688_Garner</t>
  </si>
  <si>
    <t>RR_Surface_PMAX_Corp_Value_Core-Burger_739_Irvington</t>
  </si>
  <si>
    <t>RR_Surface_PMAX_Corp_Value_Premium-Families_576_Falls-Church</t>
  </si>
  <si>
    <t>RR_Surface_PMAX_Corp_Value_Growing-Burger_518_Gurnee</t>
  </si>
  <si>
    <t>RR_Surface_PMAX_Corp_Value_Core-Non-Burger_690_Coeur-d'Alene</t>
  </si>
  <si>
    <t>RR_Surface_PMAX_Corp_Value_Core-Non-Burger_675_Manteca</t>
  </si>
  <si>
    <t>RR_Surface_PMAX_Corp_Value_Growing-Burger_703_Mt-Juliet</t>
  </si>
  <si>
    <t>RR_Surface_PMAX_Corp_Value_Core-Burger_644_Pier-Park</t>
  </si>
  <si>
    <t>RR_Surface_PMAX_Corp_Value_Premium-Families_588_Cornerstar</t>
  </si>
  <si>
    <t>RR_Surface_PMAX_Corp_Value_Premium-Families_571_Apex</t>
  </si>
  <si>
    <t>RR_Surface_PMAX_Corp_Value_Core-Burger_558_Bridgestreet</t>
  </si>
  <si>
    <t>RR_Surface_PMAX_Corp_Value_Premium-Families_584_Innovation</t>
  </si>
  <si>
    <t>RR_Surface_PMAX_Corp_Value_Core-Burger_668_Myrtle-Beach</t>
  </si>
  <si>
    <t>RR_Surface_PMAX_Corp_Value_Growing-Burger_622_Madison-East</t>
  </si>
  <si>
    <t>RR_Surface_PMAX_Corp_Value_Core-Burger_580_Christiansburg</t>
  </si>
  <si>
    <t>RR_Surface_PMAX_Corp_Value_Core-Burger_546_Columbus</t>
  </si>
  <si>
    <t>RR_Surface_PMAX_Corp_Value_Core-Burger_730_Twin-Falls</t>
  </si>
  <si>
    <t>RR_Surface_PMAX_Corp_Value_Growing-Burger_654_Mays-Landing</t>
  </si>
  <si>
    <t>RR_Surface_PMAX_Corp_Value_Core-Burger_687_Champions-Gate</t>
  </si>
  <si>
    <t>RR_Surface_PMAX_Franch_Centex_Value-Mix_Adult-Non-Burger_367_The-Rim</t>
  </si>
  <si>
    <t>RR_Surface_PMAX_Corp_Value_Growing-Burger_480_Amherst</t>
  </si>
  <si>
    <t>RR_Surface_PMAX_Corp_Value_Core-Bar_505_Parmer</t>
  </si>
  <si>
    <t>RR_Surface_PMAX_Corp_Value_Core-Burger_507_Amarillo</t>
  </si>
  <si>
    <t>RR_Surface_PMAX_Franch_PBJ_Value-Mix_Adult-Non-Burger_607_The-Waterfront</t>
  </si>
  <si>
    <t>RR_Surface_PMAX_Corp_Value_Core-Burger_489_Florence</t>
  </si>
  <si>
    <t>RR_Surface_PMAX_Corp_Value_Growing-Burger_409_Webster</t>
  </si>
  <si>
    <t>RR_Surface_PMAX_Franch_Robin_Value-Mix_Adult-Non-Burger_642_Pharr</t>
  </si>
  <si>
    <t>RR_Surface_PMAX_Corp_Value_Everyday-Non-Burger_438_Sparks</t>
  </si>
  <si>
    <t>RR_Surface_PMAX_Corp_Value_Adult-Non-Burger_352_Glenbrook-Square</t>
  </si>
  <si>
    <t>RR_Surface_PMAX_Corp_Value_Growing-Burger_461_Greensburg</t>
  </si>
  <si>
    <t>RR_Surface_PMAX_Franch_Rockin_Value-Mix_Adult-Non-Burger_414_West-Valley</t>
  </si>
  <si>
    <t>RR_Surface_PMAX_Franch_Centex_Value-Mix_Adult-Non-Burger_362_Forum</t>
  </si>
  <si>
    <t>RR_Surface_PMAX_Corp_Value_Adult-Non-Burger_437_Broadway-Faire</t>
  </si>
  <si>
    <t>RR_Surface_PMAX_Corp_Value_Growing-Burger_475_Rockford</t>
  </si>
  <si>
    <t>RR_Surface_PMAX_Corp_Value_Growing-Burger_512_Manchester</t>
  </si>
  <si>
    <t>RR_Surface_PMAX_Corp_Value_Premium-Families_442_Valley-Gate</t>
  </si>
  <si>
    <t>RR_Surface_PMAX_Corp_Value_Growing-Burger_424_Sioux-City</t>
  </si>
  <si>
    <t>RR_Surface_PMAX_Corp_Value_Core-Bar_458_Summerlin</t>
  </si>
  <si>
    <t>RR_Surface_PMAX_Corp_Value_Core-Burger_371_Vineland</t>
  </si>
  <si>
    <t>RR_Surface_PMAX_Corp_Value_Growing-Burger_429_Oswego</t>
  </si>
  <si>
    <t>RR_Surface_PMAX_Franch_RDCA_Value-Mix_Adult-Non-Burger_184_Roseburg</t>
  </si>
  <si>
    <t>RR_Surface_PMAX_Corp_Value_Adult-Non-Burger_476_Fairview-Heights</t>
  </si>
  <si>
    <t>RR_Surface_PMAX_Corp_Value_Growing-Burger_510_Tomball</t>
  </si>
  <si>
    <t>RR_Surface_PMAX_Corp_Value_Core-Burger_487_Brannon-Crossing</t>
  </si>
  <si>
    <t>RR_Surface_PMAX_Corp_Value_Core-Burger_509_Woodlands</t>
  </si>
  <si>
    <t>RR_Surface_PMAX_Corp_Value_Premium-Families_485_Colony-Place</t>
  </si>
  <si>
    <t>RR_Surface_PMAX_Corp_Value_Growing-Burger_506_Abilene</t>
  </si>
  <si>
    <t>RR_Surface_PMAX_Franch_Centex_Value-Mix_Adult-Non-Burger_363_Northwoods</t>
  </si>
  <si>
    <t>RR_Surface_PMAX_Corp_Value_Core-Burger_441_Monroeville</t>
  </si>
  <si>
    <t>RR_Surface_PMAX_Corp_Value_Core-Burger_511_Pearland</t>
  </si>
  <si>
    <t>RR_Surface_PMAX_Corp_Value_Growing-Burger_502_Hurst</t>
  </si>
  <si>
    <t>RR_Surface_PMAX_Corp_Value_Core-Burger_374_Dayton</t>
  </si>
  <si>
    <t>RR_Surface_PMAX_Corp_Value_Growing-Burger_361_Greenbrier</t>
  </si>
  <si>
    <t>RR_Surface_PMAX_Corp_Value_Core-Burger_322_Altoona</t>
  </si>
  <si>
    <t>RR_Surface_PMAX_Corp_Value_Growing-Burger_460_Cranberry-Township</t>
  </si>
  <si>
    <t>RR_Surface_PMAX_Franch_PBJ_Value-Mix_Adult-Non-Burger_611_Liberty</t>
  </si>
  <si>
    <t>RR_Surface_PMAX_Franch_LVRB-Texas_Value-Mix_Adult-Non-Burger_634_Flower-Mound</t>
  </si>
  <si>
    <t>RR_Surface_PMAX_Franch_LVRB-Texas_Value-Mix_Adult-Non-Burger_632_Cedar-Hill</t>
  </si>
  <si>
    <t>RR_Surface_PMAX_Corp_Value_Core-Burger_449_Hagerstown</t>
  </si>
  <si>
    <t>RR_Surface_PMAX_Corp_Value_Premium-Families_343_Algonquin</t>
  </si>
  <si>
    <t>RR_Surface_PMAX_Franch_Colby_Value-Mix_Adult-Non-Burger_657_Christiana</t>
  </si>
  <si>
    <t>RR_Surface_PMAX_Corp_Value_Adult-Non-Burger_504_Marqe</t>
  </si>
  <si>
    <t>RR_Surface_PMAX_Corp_Value_Everyday-Non-Burger_358_Stapley-Center</t>
  </si>
  <si>
    <t>RR_Surface_PMAX_Corp_Value_Everyday-Non-Burger_394_Happy-Valley</t>
  </si>
  <si>
    <t>RR_Surface_PMAX_Franch_RDCA_Value-Mix_Adult-Non-Burger_182_Bend</t>
  </si>
  <si>
    <t>RR_Surface_PMAX_Franch_Colby_Value-Mix_Adult-Non-Burger_751_Middletown</t>
  </si>
  <si>
    <t>RR_Surface_PMAX_Corp_Value_Everyday-Non-Burger_345_Winrock</t>
  </si>
  <si>
    <t>RR_Surface_PMAX_Franch_Rockin_Value-Mix_Adult-Non-Burger_412_Layton-Hills</t>
  </si>
  <si>
    <t>RR_Surface_PMAX_Franch_PBJ_Value-Mix_Adult-Non-Burger_606_Overland-Park</t>
  </si>
  <si>
    <t>RR_Surface_PMAX_Corp_Value_Premium-Families_484_Wareham</t>
  </si>
  <si>
    <t>RR_Surface_PMAX_Corp_Value_Growing-Burger_451_South-Plainfield</t>
  </si>
  <si>
    <t>RR_Surface_PMAX_Franch_LVRB-Texas_Value-Mix_Adult-Non-Burger_633_Garland</t>
  </si>
  <si>
    <t>RR_Surface_PMAX_Franch_LVRB-Texas_Value-Mix_Adult-Non-Burger_635_Arlington-Highlands</t>
  </si>
  <si>
    <t>RR_Surface_PMAX_Corp_Value_Premium-Families_477_South-Elgin</t>
  </si>
  <si>
    <t>RR_Surface_PMAX_Corp_Value_Growing-Burger_399_Shoreview</t>
  </si>
  <si>
    <t>RR_Surface_PMAX_Corp_Value_Core-Burger_472_Settlers-Ridge</t>
  </si>
  <si>
    <t>RR_Surface_PMAX_Corp_Value_Growing-Burger_398_Janesville</t>
  </si>
  <si>
    <t>RR_Surface_PMAX_Corp_Value_Growing-Burger_428_Chesapeake</t>
  </si>
  <si>
    <t>RR_Surface_PMAX_Corp_Value_Growing-Burger_396_Monona-Pier-37</t>
  </si>
  <si>
    <t>RR_Surface_PMAX_Franch_Tucson_Value-Mix_Adult-Non-Burger_303_Tempe</t>
  </si>
  <si>
    <t>RR_Surface_PMAX_Corp_Value_Adult-Non-Burger_457_Horseheads</t>
  </si>
  <si>
    <t>RR_Surface_PMAX_Corp_Value_Growing-Burger_452_Cherry-Hill</t>
  </si>
  <si>
    <t>RR_Surface_PMAX_Corp_Value_Premium-Families_360_Chantilly-Crossing</t>
  </si>
  <si>
    <t>RR_Surface_PMAX_Franch_PBJ_Value-Mix_Adult-Non-Burger_608_Olathe</t>
  </si>
  <si>
    <t>RR_Surface_PMAX_Franch_Colby_Value-Mix_Adult-Non-Burger_655_Hamilton</t>
  </si>
  <si>
    <t>RR_Surface_PMAX_Corp_Value_Growing-Burger_503_Katy</t>
  </si>
  <si>
    <t>RR_Surface_PMAX_Corp_Value_Core-Bar_421_Harris-Blvd</t>
  </si>
  <si>
    <t>RR_Surface_PMAX_Franch_RDCA_Value-Mix_Adult-Non-Burger_181_Medford</t>
  </si>
  <si>
    <t>RR_Surface_PMAX_Corp_Value_Growing-Burger_482_Orchard-Park</t>
  </si>
  <si>
    <t>RR_Surface_PMAX_Franch_RDCA_Value-Mix_Adult-Non-Burger_183_Albany</t>
  </si>
  <si>
    <t>RR_Surface_PMAX_Franch_PBJ_Value-Mix_Adult-Non-Burger_605_Independence</t>
  </si>
  <si>
    <t>RR_Surface_PMAX_Corp_Value_Core-Non-Burger_483_Patriot-Place</t>
  </si>
  <si>
    <t>RR_Surface_PMAX_Corp_Value_Growing-Burger_474_Hoffman-Estates</t>
  </si>
  <si>
    <t>RR_Surface_PMAX_Corp_Value_Growing-Burger_443_South-Hills</t>
  </si>
  <si>
    <t>RR_Surface_PMAX_Franch_Colby_Value-Mix_Adult-Non-Burger_656_Glasgow</t>
  </si>
  <si>
    <t>RR_Surface_PMAX_Corp_Value_Core-Non-Burger_419_Loveland</t>
  </si>
  <si>
    <t>RR_Surface_PMAX_Corp_Value_Growing-Burger_323_Camillus</t>
  </si>
  <si>
    <t>RR_Surface_PMAX_Corp_Value_Core-Bar_459_Silverado-Ranch</t>
  </si>
  <si>
    <t>RR_Surface_PMAX_Corp_Value_Everyday-Non-Burger_346_Meridian</t>
  </si>
  <si>
    <t>RR_Surface_PMAX_Corp_Value_Core-Burger_436_Metropolis</t>
  </si>
  <si>
    <t>RR_Surface_PMAX_Corp_Value_Everyday-Non-Burger_417_Superstition-Springs</t>
  </si>
  <si>
    <t>RR_Surface_PMAX_Corp_Value_Core-Non-Burger_351_Gresham</t>
  </si>
  <si>
    <t>RR_Surface_PMAX_Franch_Centex_Value-Mix_Adult-Non-Burger_369_Alamo-Ranch</t>
  </si>
  <si>
    <t>RR_Surface_PMAX_Corp_Value_Core-Bar_406_Rancho-Cucamonga</t>
  </si>
  <si>
    <t>RR_Surface_PMAX_Franch_JJM_Value-Mix_Adult-Non-Burger_232_Bilings</t>
  </si>
  <si>
    <t>RR_Surface_PMAX_Corp_Value_Core-Burger_342_Pickerington</t>
  </si>
  <si>
    <t>RR_Surface_PMAX_Corp_Value_Growing-Burger_397_Appleton</t>
  </si>
  <si>
    <t>RR_Surface_PMAX_Corp_Value_Growing-Burger_462_Quail-Springs</t>
  </si>
  <si>
    <t>RR_Surface_PMAX_Franch_PBJ_Value-Mix_Adult-Non-Burger_750_Zona-Rosa</t>
  </si>
  <si>
    <t>RR_Surface_PMAX_Corp_Value_Growing-Burger_481_Henrietta</t>
  </si>
  <si>
    <t>RR_Surface_PMAX_Corp_Value_Premium-Families_490_Denver-West</t>
  </si>
  <si>
    <t>RR_Surface_PMAX_Corp_Value_Core-Burger_470_Pittsburgh-Mills</t>
  </si>
  <si>
    <t>RR_Surface_PMAX_Corp_Value_Core-Burger_392_Fayetteville</t>
  </si>
  <si>
    <t>RR_Surface_PMAX_Franch_Rockin_Value-Mix_Adult-Non-Burger_411_South-Jordan</t>
  </si>
  <si>
    <t>RR_Surface_PMAX_Corp_Value_Growing-Burger_488_Mall-St-Matthews</t>
  </si>
  <si>
    <t>RR_Surface_PMAX_Corp_Value_Core-Non-Burger_422_Surprise</t>
  </si>
  <si>
    <t>RR_Surface_PMAX_Corp_Value_Adult-Non-Burger_347_Reno</t>
  </si>
  <si>
    <t>RR_Surface_PMAX_Franch_PBJ_Value-Mix_Adult-Non-Burger_755_West-Wichita</t>
  </si>
  <si>
    <t>RR_Surface_PMAX_Corp_Value_Core-Bar_450_Towson</t>
  </si>
  <si>
    <t>RR_Surface_PMAX_Franch_Colby_Value-Mix_Adult-Non-Burger_658_Brandywine-Town-Center</t>
  </si>
  <si>
    <t>RR_Surface_PMAX_Corp_Value_Growing-Burger_453_Greece</t>
  </si>
  <si>
    <t>RR_Surface_PMAX_Corp_Value_Core-Burger_435_Edwardsville</t>
  </si>
  <si>
    <t>RR_Surface_PMAX_Franch_RDCA_Value-Mix_Adult-Non-Burger_185_Grants-Pass</t>
  </si>
  <si>
    <t>RR_Surface_PMAX_Franch_PBJ_Value-Mix_Adult-Non-Burger_609_Topeka</t>
  </si>
  <si>
    <t>RR_Surface_PMAX_Corp_Value_Core-Burger_439_Norridge</t>
  </si>
  <si>
    <t>RR_Surface_PMAX_Franch_Rockin_Value-Mix_Adult-Non-Burger_410_Murray</t>
  </si>
  <si>
    <t>RR_Surface_PMAX_Corp_Value_Growing-Burger_393_Red-Mill-Commons</t>
  </si>
  <si>
    <t>RR_Surface_PMAX_Franch_Rockin_Value-Mix_Adult-Non-Burger_416_Provo-Towne-Center</t>
  </si>
  <si>
    <t>8 &amp; 9</t>
  </si>
  <si>
    <t>9 &amp; 10</t>
  </si>
  <si>
    <t>10 &amp; 11</t>
  </si>
  <si>
    <t>11 &amp; 12</t>
  </si>
  <si>
    <t>12 &amp; 13</t>
  </si>
  <si>
    <t>Final URL Expansion
Store Visits vs. Local Actions
Demand Gen (Maps Only)</t>
  </si>
  <si>
    <t>Final URL Expansion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</si>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</sst>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&quot;$&quot;#,##0.00"/>
    <numFmt numFmtId="166" formatCode="0.0%"/>
    <numFmt numFmtId="167" formatCode="0.0"/>
    <numFmt numFmtId="168" formatCode="&quot;$&quot;#,##0"/>
  </numFmts>
  <fonts count="21" x14ac:knownFonts="1">
    <font>
      <sz val="11"/>
      <color theme="1"/>
      <name val="Calibri"/>
      <family val="2"/>
      <scheme val="minor"/>
    </font>
    <font>
      <b/>
      <sz val="16"/>
      <color rgb="FF0D0D0D"/>
      <name val="Calibri"/>
      <family val="2"/>
    </font>
    <font>
      <sz val="10"/>
      <color rgb="FF6F6F6F"/>
      <name val="Calibri"/>
      <family val="2"/>
    </font>
    <font>
      <b/>
      <sz val="11"/>
      <color rgb="FF0D0D0D"/>
      <name val="Calibri"/>
      <family val="2"/>
    </font>
    <font>
      <b/>
      <sz val="10"/>
      <color rgb="FF0D0D0D"/>
      <name val="Calibri"/>
      <family val="2"/>
    </font>
    <font>
      <sz val="10"/>
      <color rgb="FF0D0D0D"/>
      <name val="Calibri"/>
      <family val="2"/>
    </font>
    <font>
      <b/>
      <sz val="11"/>
      <color rgb="FFFFFFFF"/>
      <name val="Calibri"/>
      <family val="2"/>
    </font>
    <font>
      <i/>
      <sz val="9"/>
      <color rgb="FF6F6F6F"/>
      <name val="Calibri"/>
      <family val="2"/>
    </font>
    <font>
      <b/>
      <sz val="9"/>
      <color rgb="FF0D0D0D"/>
      <name val="Calibri"/>
      <family val="2"/>
    </font>
    <font>
      <b/>
      <sz val="9"/>
      <color rgb="FF6F6F6F"/>
      <name val="Calibri"/>
      <family val="2"/>
    </font>
    <font>
      <sz val="11"/>
      <name val="Calibri"/>
      <family val="2"/>
    </font>
    <font>
      <b/>
      <sz val="12"/>
      <color rgb="FF0D0D0D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6"/>
      <color rgb="FF0D0D0D"/>
      <name val="Calibri"/>
      <family val="2"/>
    </font>
    <font>
      <i/>
      <sz val="9"/>
      <color rgb="FF6F6F6F"/>
      <name val="Calibri"/>
      <family val="2"/>
    </font>
    <font>
      <b/>
      <sz val="11"/>
      <color rgb="FF0D0D0D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0"/>
      <color rgb="FF0D0D0D"/>
      <name val="Calibri"/>
      <family val="2"/>
    </font>
    <font>
      <sz val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D0D0D"/>
      </patternFill>
    </fill>
    <fill>
      <patternFill patternType="solid">
        <fgColor rgb="FF2F5D50"/>
      </patternFill>
    </fill>
    <fill>
      <patternFill patternType="solid">
        <fgColor rgb="FFE8EEF2"/>
      </patternFill>
    </fill>
    <fill>
      <patternFill patternType="solid">
        <fgColor rgb="FFE9F0E8"/>
      </patternFill>
    </fill>
    <fill>
      <patternFill patternType="solid">
        <fgColor rgb="FFF0F0F0"/>
      </patternFill>
    </fill>
    <fill>
      <patternFill patternType="solid">
        <fgColor rgb="FFF3F7F5"/>
      </patternFill>
    </fill>
    <fill>
      <patternFill patternType="solid">
        <fgColor rgb="FFFFFFFF"/>
      </patternFill>
    </fill>
    <fill>
      <patternFill patternType="solid">
        <fgColor rgb="FFF2EDE8"/>
      </patternFill>
    </fill>
    <fill>
      <patternFill patternType="solid">
        <fgColor rgb="FFFFF8E7"/>
      </patternFill>
    </fill>
    <fill>
      <patternFill patternType="solid">
        <fgColor rgb="FF0D0D0D"/>
      </patternFill>
    </fill>
    <fill>
      <patternFill patternType="solid">
        <fgColor rgb="FFE9F0E8"/>
      </patternFill>
    </fill>
    <fill>
      <patternFill patternType="solid">
        <fgColor rgb="FFE8EEF2"/>
      </patternFill>
    </fill>
    <fill>
      <patternFill patternType="solid">
        <fgColor rgb="FFFFF8E7"/>
      </patternFill>
    </fill>
    <fill>
      <patternFill patternType="solid">
        <fgColor rgb="FF1F4E79"/>
      </patternFill>
    </fill>
  </fills>
  <borders count="7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4"/>
  </cellStyleXfs>
  <cellXfs count="95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0" fillId="0" borderId="1" xfId="0" applyNumberFormat="1" applyBorder="1"/>
    <xf numFmtId="0" fontId="7" fillId="0" borderId="1" xfId="0" applyFont="1" applyBorder="1"/>
    <xf numFmtId="0" fontId="0" fillId="0" borderId="1" xfId="0" applyBorder="1"/>
    <xf numFmtId="0" fontId="6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/>
    <xf numFmtId="0" fontId="0" fillId="6" borderId="1" xfId="0" applyFill="1" applyBorder="1"/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165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165" fontId="0" fillId="0" borderId="1" xfId="0" applyNumberFormat="1" applyBorder="1"/>
    <xf numFmtId="3" fontId="0" fillId="0" borderId="1" xfId="0" applyNumberFormat="1" applyBorder="1"/>
    <xf numFmtId="2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0" fillId="7" borderId="1" xfId="0" applyNumberForma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 vertical="center" wrapText="1"/>
    </xf>
    <xf numFmtId="0" fontId="5" fillId="0" borderId="1" xfId="0" applyFont="1" applyBorder="1"/>
    <xf numFmtId="0" fontId="0" fillId="0" borderId="1" xfId="0" applyBorder="1" applyAlignment="1">
      <alignment horizontal="center" vertical="center" wrapText="1"/>
    </xf>
    <xf numFmtId="0" fontId="6" fillId="2" borderId="1" xfId="0" applyFont="1" applyFill="1" applyBorder="1"/>
    <xf numFmtId="0" fontId="3" fillId="0" borderId="4" xfId="0" applyFont="1"/>
    <xf numFmtId="0" fontId="10" fillId="0" borderId="4" xfId="0" applyFont="1"/>
    <xf numFmtId="0" fontId="11" fillId="10" borderId="1" xfId="0" applyFont="1" applyFill="1" applyBorder="1" applyAlignment="1">
      <alignment horizontal="center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3" fontId="10" fillId="5" borderId="1" xfId="0" applyNumberFormat="1" applyFont="1" applyFill="1" applyBorder="1" applyAlignment="1">
      <alignment horizontal="center" vertical="center" wrapText="1"/>
    </xf>
    <xf numFmtId="167" fontId="10" fillId="4" borderId="1" xfId="0" applyNumberFormat="1" applyFont="1" applyFill="1" applyBorder="1" applyAlignment="1">
      <alignment horizontal="center" vertical="center" wrapText="1"/>
    </xf>
    <xf numFmtId="167" fontId="10" fillId="5" borderId="1" xfId="0" applyNumberFormat="1" applyFont="1" applyFill="1" applyBorder="1" applyAlignment="1">
      <alignment horizontal="center" vertical="center" wrapText="1"/>
    </xf>
    <xf numFmtId="0" fontId="1" fillId="0" borderId="4" xfId="0" applyFont="1"/>
    <xf numFmtId="0" fontId="12" fillId="0" borderId="1" xfId="0" applyFont="1" applyBorder="1"/>
    <xf numFmtId="0" fontId="13" fillId="10" borderId="1" xfId="0" applyFont="1" applyFill="1" applyBorder="1" applyAlignment="1">
      <alignment horizontal="center" vertical="center" wrapText="1"/>
    </xf>
    <xf numFmtId="0" fontId="10" fillId="0" borderId="4" xfId="0" applyFont="1" applyAlignment="1">
      <alignment horizontal="center" vertical="center" wrapText="1"/>
    </xf>
    <xf numFmtId="168" fontId="10" fillId="0" borderId="4" xfId="0" applyNumberFormat="1" applyFont="1"/>
    <xf numFmtId="3" fontId="10" fillId="0" borderId="4" xfId="0" applyNumberFormat="1" applyFont="1"/>
    <xf numFmtId="165" fontId="10" fillId="0" borderId="4" xfId="0" applyNumberFormat="1" applyFont="1"/>
    <xf numFmtId="168" fontId="6" fillId="2" borderId="1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/>
    <xf numFmtId="0" fontId="16" fillId="0" borderId="0" xfId="0" applyFont="1" applyBorder="1"/>
    <xf numFmtId="0" fontId="19" fillId="0" borderId="0" xfId="0" applyFont="1" applyBorder="1"/>
    <xf numFmtId="0" fontId="17" fillId="11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/>
    <xf numFmtId="0" fontId="18" fillId="14" borderId="5" xfId="0" applyFon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14" fontId="0" fillId="12" borderId="5" xfId="0" applyNumberFormat="1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14" fontId="0" fillId="13" borderId="5" xfId="0" applyNumberFormat="1" applyFill="1" applyBorder="1" applyAlignment="1">
      <alignment horizontal="center" vertical="center"/>
    </xf>
    <xf numFmtId="14" fontId="0" fillId="0" borderId="5" xfId="0" applyNumberFormat="1" applyBorder="1"/>
    <xf numFmtId="0" fontId="7" fillId="0" borderId="4" xfId="0" applyFont="1"/>
    <xf numFmtId="0" fontId="0" fillId="0" borderId="0" xfId="0" applyBorder="1"/>
    <xf numFmtId="0" fontId="1" fillId="0" borderId="4" xfId="0" applyFont="1"/>
    <xf numFmtId="0" fontId="7" fillId="0" borderId="2" xfId="0" applyFont="1" applyBorder="1"/>
    <xf numFmtId="0" fontId="0" fillId="0" borderId="3" xfId="0" applyBorder="1"/>
    <xf numFmtId="0" fontId="0" fillId="0" borderId="2" xfId="0" applyBorder="1"/>
    <xf numFmtId="0" fontId="15" fillId="0" borderId="2" xfId="0" applyFont="1" applyBorder="1"/>
    <xf numFmtId="0" fontId="15" fillId="0" borderId="0" xfId="0" applyFont="1" applyBorder="1"/>
    <xf numFmtId="0" fontId="16" fillId="0" borderId="0" xfId="0" applyFont="1" applyBorder="1"/>
    <xf numFmtId="0" fontId="14" fillId="0" borderId="0" xfId="0" applyFont="1" applyBorder="1"/>
    <xf numFmtId="0" fontId="1" fillId="0" borderId="4" xfId="0" applyFont="1" applyAlignment="1">
      <alignment vertical="center"/>
    </xf>
    <xf numFmtId="0" fontId="6" fillId="15" borderId="4" xfId="0" applyFont="1" applyFill="1" applyAlignment="1">
      <alignment horizontal="left" vertical="center"/>
    </xf>
    <xf numFmtId="1" fontId="20" fillId="0" borderId="6" xfId="0" applyNumberFormat="1" applyFont="1" applyBorder="1" applyAlignment="1">
      <alignment horizontal="center"/>
    </xf>
    <xf numFmtId="0" fontId="20" fillId="0" borderId="6" xfId="0" applyFont="1" applyBorder="1"/>
    <xf numFmtId="0" fontId="20" fillId="0" borderId="6" xfId="0" applyFont="1" applyBorder="1" applyAlignment="1">
      <alignment horizontal="center"/>
    </xf>
    <xf numFmtId="0" fontId="0" fillId="0" borderId="4" xfId="0"/>
    <xf numFmtId="16" fontId="8" fillId="5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top" wrapText="1"/>
    </xf>
    <xf numFmtId="0" fontId="6" fillId="15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ly%60%20Metric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` Metric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workbookViewId="0"/>
  </sheetViews>
  <sheetFormatPr defaultRowHeight="14.5" x14ac:dyDescent="0.35"/>
  <cols>
    <col min="1" max="1" width="18" customWidth="1"/>
    <col min="2" max="2" width="110" customWidth="1"/>
  </cols>
  <sheetData>
    <row r="1" spans="1:2" ht="28" customHeight="1" x14ac:dyDescent="0.5">
      <c r="A1" s="1" t="s">
        <v>38</v>
      </c>
    </row>
    <row r="2" spans="1:2" x14ac:dyDescent="0.35">
      <c r="A2" s="2" t="s">
        <v>39</v>
      </c>
    </row>
    <row r="5" spans="1:2" x14ac:dyDescent="0.35">
      <c r="A5" s="3" t="s">
        <v>40</v>
      </c>
    </row>
    <row r="6" spans="1:2" x14ac:dyDescent="0.35">
      <c r="A6" s="4" t="s">
        <v>41</v>
      </c>
      <c r="B6" s="5" t="s">
        <v>42</v>
      </c>
    </row>
    <row r="7" spans="1:2" x14ac:dyDescent="0.35">
      <c r="A7" s="4" t="s">
        <v>43</v>
      </c>
      <c r="B7" s="5" t="s">
        <v>44</v>
      </c>
    </row>
    <row r="8" spans="1:2" x14ac:dyDescent="0.35">
      <c r="A8" s="4" t="s">
        <v>45</v>
      </c>
      <c r="B8" s="5" t="s">
        <v>46</v>
      </c>
    </row>
    <row r="10" spans="1:2" x14ac:dyDescent="0.35">
      <c r="A10" s="3" t="s">
        <v>47</v>
      </c>
    </row>
    <row r="11" spans="1:2" x14ac:dyDescent="0.35">
      <c r="A11" s="4" t="s">
        <v>48</v>
      </c>
      <c r="B11" s="5" t="s">
        <v>49</v>
      </c>
    </row>
    <row r="12" spans="1:2" x14ac:dyDescent="0.35">
      <c r="A12" s="4" t="s">
        <v>50</v>
      </c>
      <c r="B12" s="5" t="s">
        <v>51</v>
      </c>
    </row>
    <row r="13" spans="1:2" x14ac:dyDescent="0.35">
      <c r="A13" s="4" t="s">
        <v>52</v>
      </c>
      <c r="B13" s="5" t="s">
        <v>53</v>
      </c>
    </row>
    <row r="14" spans="1:2" x14ac:dyDescent="0.35">
      <c r="A14" s="4" t="s">
        <v>54</v>
      </c>
      <c r="B14" s="5" t="s">
        <v>55</v>
      </c>
    </row>
    <row r="15" spans="1:2" x14ac:dyDescent="0.35">
      <c r="A15" s="4" t="s">
        <v>56</v>
      </c>
      <c r="B15" s="5" t="s">
        <v>57</v>
      </c>
    </row>
    <row r="17" spans="1:2" x14ac:dyDescent="0.35">
      <c r="A17" s="3" t="s">
        <v>58</v>
      </c>
    </row>
    <row r="18" spans="1:2" x14ac:dyDescent="0.35">
      <c r="A18" s="4" t="s">
        <v>59</v>
      </c>
      <c r="B18" s="5" t="s">
        <v>60</v>
      </c>
    </row>
    <row r="19" spans="1:2" x14ac:dyDescent="0.35">
      <c r="A19" s="4" t="s">
        <v>61</v>
      </c>
      <c r="B19" s="5" t="s">
        <v>62</v>
      </c>
    </row>
    <row r="20" spans="1:2" x14ac:dyDescent="0.35">
      <c r="A20" s="4" t="s">
        <v>63</v>
      </c>
      <c r="B20" s="5" t="s">
        <v>64</v>
      </c>
    </row>
    <row r="21" spans="1:2" x14ac:dyDescent="0.35">
      <c r="A21" s="4" t="s">
        <v>65</v>
      </c>
      <c r="B21" s="5" t="s">
        <v>66</v>
      </c>
    </row>
    <row r="23" spans="1:2" x14ac:dyDescent="0.35">
      <c r="A23" s="64" t="s">
        <v>67</v>
      </c>
    </row>
    <row r="24" spans="1:2" x14ac:dyDescent="0.35">
      <c r="A24" s="65" t="s">
        <v>68</v>
      </c>
      <c r="B24" t="s">
        <v>69</v>
      </c>
    </row>
    <row r="25" spans="1:2" x14ac:dyDescent="0.35">
      <c r="A25" s="65" t="s">
        <v>70</v>
      </c>
      <c r="B25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workbookViewId="0">
      <selection activeCell="C21" sqref="C21"/>
    </sheetView>
  </sheetViews>
  <sheetFormatPr defaultRowHeight="14.5" x14ac:dyDescent="0.35"/>
  <cols>
    <col min="1" max="1" width="20" customWidth="1"/>
    <col min="2" max="2" width="18" customWidth="1"/>
    <col min="3" max="3" width="55" customWidth="1"/>
    <col min="5" max="6" width="12" customWidth="1"/>
    <col min="7" max="7" width="14" customWidth="1"/>
  </cols>
  <sheetData>
    <row r="1" spans="1:7" ht="21" customHeight="1" x14ac:dyDescent="0.5">
      <c r="A1" s="1" t="s">
        <v>48</v>
      </c>
    </row>
    <row r="3" spans="1:7" x14ac:dyDescent="0.35">
      <c r="A3" s="6" t="s">
        <v>72</v>
      </c>
      <c r="B3" s="6" t="s">
        <v>73</v>
      </c>
      <c r="C3" s="6" t="s">
        <v>74</v>
      </c>
      <c r="E3" s="43" t="s">
        <v>75</v>
      </c>
      <c r="F3" s="43" t="s">
        <v>76</v>
      </c>
      <c r="G3" s="43" t="s">
        <v>77</v>
      </c>
    </row>
    <row r="4" spans="1:7" x14ac:dyDescent="0.35">
      <c r="A4" s="7" t="s">
        <v>78</v>
      </c>
      <c r="B4" s="8">
        <f>IFERROR(VLOOKUP('Monthly Metrics'!$B$14,E4:G15,3,FALSE),DATE(2026,7,1))</f>
        <v>46204</v>
      </c>
      <c r="C4" s="9" t="s">
        <v>79</v>
      </c>
      <c r="E4" s="10" t="s">
        <v>4</v>
      </c>
      <c r="F4" s="10" t="s">
        <v>80</v>
      </c>
      <c r="G4" s="8">
        <v>46023</v>
      </c>
    </row>
    <row r="5" spans="1:7" x14ac:dyDescent="0.35">
      <c r="A5" s="7" t="s">
        <v>81</v>
      </c>
      <c r="B5" s="10" t="s">
        <v>82</v>
      </c>
      <c r="C5" s="9" t="s">
        <v>83</v>
      </c>
      <c r="E5" s="10" t="s">
        <v>5</v>
      </c>
      <c r="F5" s="10" t="s">
        <v>84</v>
      </c>
      <c r="G5" s="8">
        <v>46054</v>
      </c>
    </row>
    <row r="6" spans="1:7" x14ac:dyDescent="0.35">
      <c r="A6" s="7" t="s">
        <v>85</v>
      </c>
      <c r="B6" s="10" t="s">
        <v>86</v>
      </c>
      <c r="C6" s="9" t="s">
        <v>87</v>
      </c>
      <c r="E6" s="10" t="s">
        <v>6</v>
      </c>
      <c r="F6" s="10" t="s">
        <v>88</v>
      </c>
      <c r="G6" s="8">
        <v>46082</v>
      </c>
    </row>
    <row r="7" spans="1:7" x14ac:dyDescent="0.35">
      <c r="A7" s="7" t="s">
        <v>89</v>
      </c>
      <c r="B7" s="10" t="s">
        <v>90</v>
      </c>
      <c r="C7" s="9" t="s">
        <v>91</v>
      </c>
      <c r="E7" s="10" t="s">
        <v>7</v>
      </c>
      <c r="F7" s="10" t="s">
        <v>92</v>
      </c>
      <c r="G7" s="8">
        <v>46113</v>
      </c>
    </row>
    <row r="8" spans="1:7" x14ac:dyDescent="0.35">
      <c r="A8" s="7" t="s">
        <v>93</v>
      </c>
      <c r="B8" s="10" t="s">
        <v>94</v>
      </c>
      <c r="C8" s="9" t="s">
        <v>91</v>
      </c>
      <c r="E8" s="10" t="s">
        <v>8</v>
      </c>
      <c r="F8" s="10" t="s">
        <v>95</v>
      </c>
      <c r="G8" s="8">
        <v>46143</v>
      </c>
    </row>
    <row r="9" spans="1:7" x14ac:dyDescent="0.35">
      <c r="A9" s="7" t="s">
        <v>96</v>
      </c>
      <c r="B9" s="10">
        <v>2026</v>
      </c>
      <c r="C9" s="9" t="s">
        <v>97</v>
      </c>
      <c r="E9" s="10" t="s">
        <v>9</v>
      </c>
      <c r="F9" s="10" t="s">
        <v>98</v>
      </c>
      <c r="G9" s="8">
        <v>46174</v>
      </c>
    </row>
    <row r="10" spans="1:7" x14ac:dyDescent="0.35">
      <c r="E10" s="10" t="s">
        <v>10</v>
      </c>
      <c r="F10" s="10" t="s">
        <v>99</v>
      </c>
      <c r="G10" s="8">
        <v>46204</v>
      </c>
    </row>
    <row r="11" spans="1:7" x14ac:dyDescent="0.35">
      <c r="A11" s="79" t="s">
        <v>100</v>
      </c>
      <c r="B11" s="80"/>
      <c r="C11" s="80"/>
      <c r="D11" s="80"/>
      <c r="E11" s="80"/>
      <c r="F11" s="80"/>
      <c r="G11" s="81"/>
    </row>
    <row r="12" spans="1:7" x14ac:dyDescent="0.35">
      <c r="A12" s="82" t="s">
        <v>101</v>
      </c>
      <c r="B12" s="80"/>
      <c r="C12" s="80"/>
      <c r="D12" s="80"/>
      <c r="E12" s="80"/>
      <c r="F12" s="80"/>
      <c r="G12" s="81"/>
    </row>
    <row r="13" spans="1:7" x14ac:dyDescent="0.35">
      <c r="E13" s="10" t="s">
        <v>13</v>
      </c>
      <c r="F13" s="10" t="s">
        <v>102</v>
      </c>
      <c r="G13" s="8">
        <v>46296</v>
      </c>
    </row>
    <row r="14" spans="1:7" x14ac:dyDescent="0.35">
      <c r="E14" s="10" t="s">
        <v>14</v>
      </c>
      <c r="F14" s="10" t="s">
        <v>103</v>
      </c>
      <c r="G14" s="8">
        <v>46327</v>
      </c>
    </row>
    <row r="15" spans="1:7" x14ac:dyDescent="0.35">
      <c r="E15" s="10" t="s">
        <v>15</v>
      </c>
      <c r="F15" s="10" t="s">
        <v>104</v>
      </c>
      <c r="G15" s="8">
        <v>46357</v>
      </c>
    </row>
  </sheetData>
  <mergeCells count="2">
    <mergeCell ref="A11:G1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8"/>
  <sheetViews>
    <sheetView showGridLines="0" topLeftCell="B1" zoomScale="72" zoomScaleNormal="72" workbookViewId="0">
      <pane ySplit="23" topLeftCell="A24" activePane="bottomLeft" state="frozen"/>
      <selection pane="bottomLeft" activeCell="N3" sqref="M3:N3"/>
    </sheetView>
  </sheetViews>
  <sheetFormatPr defaultRowHeight="14.5" x14ac:dyDescent="0.35"/>
  <cols>
    <col min="1" max="4" width="12" customWidth="1"/>
    <col min="5" max="6" width="22" customWidth="1"/>
    <col min="7" max="7" width="3" customWidth="1"/>
    <col min="8" max="8" width="20" customWidth="1"/>
    <col min="9" max="9" width="14" customWidth="1"/>
  </cols>
  <sheetData>
    <row r="1" spans="1:8" ht="21" x14ac:dyDescent="0.5">
      <c r="A1" s="85" t="s">
        <v>105</v>
      </c>
      <c r="B1" s="77"/>
      <c r="C1" s="77"/>
      <c r="D1" s="77"/>
      <c r="E1" s="77"/>
      <c r="F1" s="77"/>
      <c r="G1" s="77"/>
      <c r="H1" s="77"/>
    </row>
    <row r="2" spans="1:8" x14ac:dyDescent="0.35">
      <c r="A2" s="83" t="s">
        <v>106</v>
      </c>
      <c r="B2" s="77"/>
      <c r="C2" s="77"/>
      <c r="D2" s="77"/>
      <c r="E2" s="77"/>
      <c r="F2" s="77"/>
      <c r="G2" s="77"/>
      <c r="H2" s="77"/>
    </row>
    <row r="4" spans="1:8" x14ac:dyDescent="0.35">
      <c r="A4" s="64" t="s">
        <v>107</v>
      </c>
    </row>
    <row r="5" spans="1:8" x14ac:dyDescent="0.35">
      <c r="A5" s="66" t="s">
        <v>2</v>
      </c>
      <c r="B5" s="66" t="s">
        <v>108</v>
      </c>
      <c r="C5" s="66" t="s">
        <v>109</v>
      </c>
      <c r="D5" s="66" t="s">
        <v>110</v>
      </c>
      <c r="E5" s="66" t="s">
        <v>111</v>
      </c>
    </row>
    <row r="6" spans="1:8" x14ac:dyDescent="0.35">
      <c r="A6" s="67">
        <v>0</v>
      </c>
      <c r="B6" s="68">
        <v>45992</v>
      </c>
      <c r="C6" s="68">
        <v>46019</v>
      </c>
      <c r="D6" s="67">
        <v>28</v>
      </c>
      <c r="E6" s="69" t="s">
        <v>112</v>
      </c>
    </row>
    <row r="7" spans="1:8" x14ac:dyDescent="0.35">
      <c r="A7" s="67">
        <v>1</v>
      </c>
      <c r="B7" s="68">
        <v>46020</v>
      </c>
      <c r="C7" s="68">
        <v>46047</v>
      </c>
      <c r="D7" s="67">
        <v>28</v>
      </c>
      <c r="E7" s="69" t="s">
        <v>113</v>
      </c>
    </row>
    <row r="8" spans="1:8" x14ac:dyDescent="0.35">
      <c r="A8" s="67">
        <v>2</v>
      </c>
      <c r="B8" s="68">
        <v>46048</v>
      </c>
      <c r="C8" s="68">
        <v>46075</v>
      </c>
      <c r="D8" s="67">
        <v>28</v>
      </c>
      <c r="E8" s="69" t="s">
        <v>114</v>
      </c>
    </row>
    <row r="9" spans="1:8" x14ac:dyDescent="0.35">
      <c r="A9" s="67">
        <v>3</v>
      </c>
      <c r="B9" s="68">
        <v>46076</v>
      </c>
      <c r="C9" s="68">
        <v>46103</v>
      </c>
      <c r="D9" s="67">
        <v>28</v>
      </c>
      <c r="E9" s="69" t="s">
        <v>115</v>
      </c>
    </row>
    <row r="10" spans="1:8" x14ac:dyDescent="0.35">
      <c r="A10" s="67">
        <v>4</v>
      </c>
      <c r="B10" s="68">
        <v>46104</v>
      </c>
      <c r="C10" s="68">
        <v>46131</v>
      </c>
      <c r="D10" s="67">
        <v>28</v>
      </c>
      <c r="E10" s="69" t="s">
        <v>116</v>
      </c>
    </row>
    <row r="11" spans="1:8" x14ac:dyDescent="0.35">
      <c r="A11" s="67">
        <v>5</v>
      </c>
      <c r="B11" s="68">
        <v>46132</v>
      </c>
      <c r="C11" s="68">
        <v>46159</v>
      </c>
      <c r="D11" s="67">
        <v>28</v>
      </c>
      <c r="E11" s="69" t="s">
        <v>117</v>
      </c>
    </row>
    <row r="12" spans="1:8" x14ac:dyDescent="0.35">
      <c r="A12" s="67">
        <v>6</v>
      </c>
      <c r="B12" s="68">
        <v>46160</v>
      </c>
      <c r="C12" s="68">
        <v>46187</v>
      </c>
      <c r="D12" s="67">
        <v>28</v>
      </c>
      <c r="E12" s="69" t="s">
        <v>118</v>
      </c>
    </row>
    <row r="13" spans="1:8" x14ac:dyDescent="0.35">
      <c r="A13" s="67">
        <v>7</v>
      </c>
      <c r="B13" s="68">
        <v>46188</v>
      </c>
      <c r="C13" s="68">
        <v>46215</v>
      </c>
      <c r="D13" s="67">
        <v>28</v>
      </c>
      <c r="E13" s="69" t="s">
        <v>119</v>
      </c>
    </row>
    <row r="14" spans="1:8" x14ac:dyDescent="0.35">
      <c r="A14" s="67">
        <v>8</v>
      </c>
      <c r="B14" s="68">
        <v>46216</v>
      </c>
      <c r="C14" s="68">
        <v>46243</v>
      </c>
      <c r="D14" s="67">
        <v>28</v>
      </c>
      <c r="E14" s="69" t="s">
        <v>120</v>
      </c>
    </row>
    <row r="15" spans="1:8" x14ac:dyDescent="0.35">
      <c r="A15" s="67">
        <v>9</v>
      </c>
      <c r="B15" s="68">
        <v>46244</v>
      </c>
      <c r="C15" s="68">
        <v>46271</v>
      </c>
      <c r="D15" s="67">
        <v>28</v>
      </c>
      <c r="E15" s="69" t="s">
        <v>121</v>
      </c>
    </row>
    <row r="16" spans="1:8" x14ac:dyDescent="0.35">
      <c r="A16" s="67">
        <v>10</v>
      </c>
      <c r="B16" s="68">
        <v>46272</v>
      </c>
      <c r="C16" s="68">
        <v>46299</v>
      </c>
      <c r="D16" s="67">
        <v>28</v>
      </c>
      <c r="E16" s="69" t="s">
        <v>122</v>
      </c>
    </row>
    <row r="17" spans="1:10" x14ac:dyDescent="0.35">
      <c r="A17" s="67">
        <v>11</v>
      </c>
      <c r="B17" s="68">
        <v>46300</v>
      </c>
      <c r="C17" s="68">
        <v>46327</v>
      </c>
      <c r="D17" s="67">
        <v>28</v>
      </c>
      <c r="E17" s="69" t="s">
        <v>123</v>
      </c>
    </row>
    <row r="18" spans="1:10" x14ac:dyDescent="0.35">
      <c r="A18" s="67">
        <v>12</v>
      </c>
      <c r="B18" s="68">
        <v>46328</v>
      </c>
      <c r="C18" s="68">
        <v>46355</v>
      </c>
      <c r="D18" s="67">
        <v>28</v>
      </c>
      <c r="E18" s="69" t="s">
        <v>124</v>
      </c>
    </row>
    <row r="19" spans="1:10" x14ac:dyDescent="0.35">
      <c r="A19" s="67">
        <v>13</v>
      </c>
      <c r="B19" s="68">
        <v>46356</v>
      </c>
      <c r="C19" s="68">
        <v>46383</v>
      </c>
      <c r="D19" s="67">
        <v>28</v>
      </c>
      <c r="E19" s="69" t="s">
        <v>125</v>
      </c>
    </row>
    <row r="20" spans="1:10" x14ac:dyDescent="0.35">
      <c r="A20" s="67">
        <v>14</v>
      </c>
      <c r="B20" s="68">
        <v>46384</v>
      </c>
      <c r="C20" s="68">
        <v>46411</v>
      </c>
      <c r="D20" s="67">
        <v>28</v>
      </c>
      <c r="E20" s="69" t="s">
        <v>126</v>
      </c>
    </row>
    <row r="22" spans="1:10" x14ac:dyDescent="0.35">
      <c r="A22" s="84" t="s">
        <v>127</v>
      </c>
      <c r="B22" s="77"/>
      <c r="C22" s="77"/>
      <c r="D22" s="77"/>
      <c r="E22" s="77"/>
      <c r="F22" s="77"/>
      <c r="H22" s="64" t="s">
        <v>128</v>
      </c>
    </row>
    <row r="23" spans="1:10" ht="15.5" x14ac:dyDescent="0.35">
      <c r="A23" s="66" t="s">
        <v>129</v>
      </c>
      <c r="B23" s="66" t="s">
        <v>130</v>
      </c>
      <c r="C23" s="66" t="s">
        <v>131</v>
      </c>
      <c r="D23" s="66" t="s">
        <v>132</v>
      </c>
      <c r="E23" s="66" t="s">
        <v>133</v>
      </c>
      <c r="F23" s="66" t="s">
        <v>134</v>
      </c>
      <c r="H23" s="69" t="s">
        <v>135</v>
      </c>
      <c r="I23" s="70">
        <v>8</v>
      </c>
    </row>
    <row r="24" spans="1:10" x14ac:dyDescent="0.35">
      <c r="A24" s="71">
        <v>1</v>
      </c>
      <c r="B24" s="72">
        <v>46023</v>
      </c>
      <c r="C24" s="73">
        <v>0</v>
      </c>
      <c r="D24" s="74">
        <v>46016</v>
      </c>
      <c r="E24" s="69" t="s">
        <v>136</v>
      </c>
      <c r="F24" s="69" t="s">
        <v>137</v>
      </c>
      <c r="H24" s="69" t="s">
        <v>138</v>
      </c>
      <c r="I24" s="75" t="str">
        <f ca="1">IFERROR(_xludf.MINIFS(B24:B388,A24:A388,I23),"")</f>
        <v/>
      </c>
    </row>
    <row r="25" spans="1:10" x14ac:dyDescent="0.35">
      <c r="A25" s="71">
        <v>1</v>
      </c>
      <c r="B25" s="72">
        <v>46024</v>
      </c>
      <c r="C25" s="73">
        <v>0</v>
      </c>
      <c r="D25" s="74">
        <v>46015</v>
      </c>
      <c r="E25" s="69" t="s">
        <v>136</v>
      </c>
      <c r="F25" s="69" t="s">
        <v>137</v>
      </c>
      <c r="H25" s="69" t="s">
        <v>139</v>
      </c>
      <c r="I25" s="75" t="str">
        <f ca="1">IFERROR(_xludf.MAXIFS(B24:B388,A24:A388,I23),"")</f>
        <v/>
      </c>
    </row>
    <row r="26" spans="1:10" x14ac:dyDescent="0.35">
      <c r="A26" s="71">
        <v>1</v>
      </c>
      <c r="B26" s="72">
        <v>46025</v>
      </c>
      <c r="C26" s="73">
        <v>0</v>
      </c>
      <c r="D26" s="74">
        <v>46014</v>
      </c>
      <c r="E26" s="69" t="s">
        <v>136</v>
      </c>
      <c r="F26" s="69" t="s">
        <v>137</v>
      </c>
      <c r="H26" s="69" t="s">
        <v>140</v>
      </c>
      <c r="I26" s="69">
        <f>IFERROR(INDEX(C24:C388,MATCH(I23,A24:A388,0)),"")</f>
        <v>7</v>
      </c>
    </row>
    <row r="27" spans="1:10" x14ac:dyDescent="0.35">
      <c r="A27" s="71">
        <v>1</v>
      </c>
      <c r="B27" s="72">
        <v>46026</v>
      </c>
      <c r="C27" s="73">
        <v>0</v>
      </c>
      <c r="D27" s="74">
        <v>46013</v>
      </c>
      <c r="E27" s="69" t="s">
        <v>136</v>
      </c>
      <c r="F27" s="69" t="s">
        <v>137</v>
      </c>
      <c r="H27" s="69" t="s">
        <v>141</v>
      </c>
      <c r="I27" s="75" t="str">
        <f ca="1">IFERROR(_xludf.MINIFS(D24:D388,A24:A388,I23),"")</f>
        <v/>
      </c>
    </row>
    <row r="28" spans="1:10" x14ac:dyDescent="0.35">
      <c r="A28" s="71">
        <v>1</v>
      </c>
      <c r="B28" s="72">
        <v>46027</v>
      </c>
      <c r="C28" s="73">
        <v>0</v>
      </c>
      <c r="D28" s="74">
        <v>46012</v>
      </c>
      <c r="E28" s="69" t="s">
        <v>136</v>
      </c>
      <c r="F28" s="69" t="s">
        <v>137</v>
      </c>
      <c r="H28" s="69" t="s">
        <v>142</v>
      </c>
      <c r="I28" s="75" t="str">
        <f ca="1">IFERROR(_xludf.MAXIFS(D24:D388,A24:A388,I23),"")</f>
        <v/>
      </c>
    </row>
    <row r="29" spans="1:10" x14ac:dyDescent="0.35">
      <c r="A29" s="71">
        <v>1</v>
      </c>
      <c r="B29" s="72">
        <v>46028</v>
      </c>
      <c r="C29" s="73">
        <v>0</v>
      </c>
      <c r="D29" s="74">
        <v>46011</v>
      </c>
      <c r="E29" s="69" t="s">
        <v>136</v>
      </c>
      <c r="F29" s="69" t="s">
        <v>137</v>
      </c>
      <c r="H29" s="69" t="s">
        <v>143</v>
      </c>
      <c r="I29" s="69">
        <f>IFERROR(COUNTIF(A24:A388,I23),"")</f>
        <v>28</v>
      </c>
    </row>
    <row r="30" spans="1:10" x14ac:dyDescent="0.35">
      <c r="A30" s="71">
        <v>1</v>
      </c>
      <c r="B30" s="72">
        <v>46029</v>
      </c>
      <c r="C30" s="73">
        <v>0</v>
      </c>
      <c r="D30" s="74">
        <v>46010</v>
      </c>
      <c r="E30" s="69" t="s">
        <v>136</v>
      </c>
      <c r="F30" s="69" t="s">
        <v>137</v>
      </c>
    </row>
    <row r="31" spans="1:10" x14ac:dyDescent="0.35">
      <c r="A31" s="71">
        <v>1</v>
      </c>
      <c r="B31" s="72">
        <v>46030</v>
      </c>
      <c r="C31" s="73">
        <v>0</v>
      </c>
      <c r="D31" s="74">
        <v>46009</v>
      </c>
      <c r="E31" s="69" t="s">
        <v>136</v>
      </c>
      <c r="F31" s="69" t="s">
        <v>137</v>
      </c>
      <c r="H31" s="83" t="s">
        <v>144</v>
      </c>
      <c r="I31" s="77"/>
      <c r="J31" s="77"/>
    </row>
    <row r="32" spans="1:10" x14ac:dyDescent="0.35">
      <c r="A32" s="71">
        <v>1</v>
      </c>
      <c r="B32" s="72">
        <v>46031</v>
      </c>
      <c r="C32" s="73">
        <v>0</v>
      </c>
      <c r="D32" s="74">
        <v>46008</v>
      </c>
      <c r="E32" s="69" t="s">
        <v>136</v>
      </c>
      <c r="F32" s="69" t="s">
        <v>137</v>
      </c>
    </row>
    <row r="33" spans="1:6" x14ac:dyDescent="0.35">
      <c r="A33" s="71">
        <v>1</v>
      </c>
      <c r="B33" s="72">
        <v>46032</v>
      </c>
      <c r="C33" s="73">
        <v>0</v>
      </c>
      <c r="D33" s="74">
        <v>46007</v>
      </c>
      <c r="E33" s="69" t="s">
        <v>136</v>
      </c>
      <c r="F33" s="69" t="s">
        <v>137</v>
      </c>
    </row>
    <row r="34" spans="1:6" x14ac:dyDescent="0.35">
      <c r="A34" s="71">
        <v>1</v>
      </c>
      <c r="B34" s="72">
        <v>46033</v>
      </c>
      <c r="C34" s="73">
        <v>0</v>
      </c>
      <c r="D34" s="74">
        <v>46006</v>
      </c>
      <c r="E34" s="69" t="s">
        <v>136</v>
      </c>
      <c r="F34" s="69" t="s">
        <v>137</v>
      </c>
    </row>
    <row r="35" spans="1:6" x14ac:dyDescent="0.35">
      <c r="A35" s="71">
        <v>1</v>
      </c>
      <c r="B35" s="72">
        <v>46034</v>
      </c>
      <c r="C35" s="73">
        <v>0</v>
      </c>
      <c r="D35" s="74">
        <v>46005</v>
      </c>
      <c r="E35" s="69" t="s">
        <v>136</v>
      </c>
      <c r="F35" s="69" t="s">
        <v>137</v>
      </c>
    </row>
    <row r="36" spans="1:6" x14ac:dyDescent="0.35">
      <c r="A36" s="71">
        <v>1</v>
      </c>
      <c r="B36" s="72">
        <v>46035</v>
      </c>
      <c r="C36" s="73">
        <v>0</v>
      </c>
      <c r="D36" s="74">
        <v>46004</v>
      </c>
      <c r="E36" s="69" t="s">
        <v>136</v>
      </c>
      <c r="F36" s="69" t="s">
        <v>137</v>
      </c>
    </row>
    <row r="37" spans="1:6" x14ac:dyDescent="0.35">
      <c r="A37" s="71">
        <v>1</v>
      </c>
      <c r="B37" s="72">
        <v>46036</v>
      </c>
      <c r="C37" s="73">
        <v>0</v>
      </c>
      <c r="D37" s="74">
        <v>46003</v>
      </c>
      <c r="E37" s="69" t="s">
        <v>136</v>
      </c>
      <c r="F37" s="69" t="s">
        <v>137</v>
      </c>
    </row>
    <row r="38" spans="1:6" x14ac:dyDescent="0.35">
      <c r="A38" s="71">
        <v>1</v>
      </c>
      <c r="B38" s="72">
        <v>46037</v>
      </c>
      <c r="C38" s="73">
        <v>0</v>
      </c>
      <c r="D38" s="74">
        <v>46002</v>
      </c>
      <c r="E38" s="69" t="s">
        <v>136</v>
      </c>
      <c r="F38" s="69" t="s">
        <v>137</v>
      </c>
    </row>
    <row r="39" spans="1:6" x14ac:dyDescent="0.35">
      <c r="A39" s="71">
        <v>1</v>
      </c>
      <c r="B39" s="72">
        <v>46038</v>
      </c>
      <c r="C39" s="73">
        <v>0</v>
      </c>
      <c r="D39" s="74">
        <v>46001</v>
      </c>
      <c r="E39" s="69" t="s">
        <v>136</v>
      </c>
      <c r="F39" s="69" t="s">
        <v>137</v>
      </c>
    </row>
    <row r="40" spans="1:6" x14ac:dyDescent="0.35">
      <c r="A40" s="71">
        <v>1</v>
      </c>
      <c r="B40" s="72">
        <v>46039</v>
      </c>
      <c r="C40" s="73">
        <v>0</v>
      </c>
      <c r="D40" s="74">
        <v>46000</v>
      </c>
      <c r="E40" s="69" t="s">
        <v>136</v>
      </c>
      <c r="F40" s="69" t="s">
        <v>137</v>
      </c>
    </row>
    <row r="41" spans="1:6" x14ac:dyDescent="0.35">
      <c r="A41" s="71">
        <v>1</v>
      </c>
      <c r="B41" s="72">
        <v>46040</v>
      </c>
      <c r="C41" s="73">
        <v>0</v>
      </c>
      <c r="D41" s="74">
        <v>45999</v>
      </c>
      <c r="E41" s="69" t="s">
        <v>136</v>
      </c>
      <c r="F41" s="69" t="s">
        <v>137</v>
      </c>
    </row>
    <row r="42" spans="1:6" x14ac:dyDescent="0.35">
      <c r="A42" s="71">
        <v>1</v>
      </c>
      <c r="B42" s="72">
        <v>46041</v>
      </c>
      <c r="C42" s="73">
        <v>0</v>
      </c>
      <c r="D42" s="74">
        <v>45998</v>
      </c>
      <c r="E42" s="69" t="s">
        <v>136</v>
      </c>
      <c r="F42" s="69" t="s">
        <v>137</v>
      </c>
    </row>
    <row r="43" spans="1:6" x14ac:dyDescent="0.35">
      <c r="A43" s="71">
        <v>1</v>
      </c>
      <c r="B43" s="72">
        <v>46042</v>
      </c>
      <c r="C43" s="73">
        <v>0</v>
      </c>
      <c r="D43" s="74">
        <v>45997</v>
      </c>
      <c r="E43" s="69" t="s">
        <v>136</v>
      </c>
      <c r="F43" s="69" t="s">
        <v>137</v>
      </c>
    </row>
    <row r="44" spans="1:6" x14ac:dyDescent="0.35">
      <c r="A44" s="71">
        <v>1</v>
      </c>
      <c r="B44" s="72">
        <v>46043</v>
      </c>
      <c r="C44" s="73">
        <v>0</v>
      </c>
      <c r="D44" s="74">
        <v>45996</v>
      </c>
      <c r="E44" s="69" t="s">
        <v>136</v>
      </c>
      <c r="F44" s="69" t="s">
        <v>137</v>
      </c>
    </row>
    <row r="45" spans="1:6" x14ac:dyDescent="0.35">
      <c r="A45" s="71">
        <v>1</v>
      </c>
      <c r="B45" s="72">
        <v>46044</v>
      </c>
      <c r="C45" s="73">
        <v>0</v>
      </c>
      <c r="D45" s="74">
        <v>45995</v>
      </c>
      <c r="E45" s="69" t="s">
        <v>136</v>
      </c>
      <c r="F45" s="69" t="s">
        <v>137</v>
      </c>
    </row>
    <row r="46" spans="1:6" x14ac:dyDescent="0.35">
      <c r="A46" s="71">
        <v>1</v>
      </c>
      <c r="B46" s="72">
        <v>46045</v>
      </c>
      <c r="C46" s="73">
        <v>0</v>
      </c>
      <c r="D46" s="74">
        <v>45994</v>
      </c>
      <c r="E46" s="69" t="s">
        <v>136</v>
      </c>
      <c r="F46" s="69" t="s">
        <v>137</v>
      </c>
    </row>
    <row r="47" spans="1:6" x14ac:dyDescent="0.35">
      <c r="A47" s="71">
        <v>1</v>
      </c>
      <c r="B47" s="72">
        <v>46046</v>
      </c>
      <c r="C47" s="73">
        <v>0</v>
      </c>
      <c r="D47" s="74">
        <v>45993</v>
      </c>
      <c r="E47" s="69" t="s">
        <v>136</v>
      </c>
      <c r="F47" s="69" t="s">
        <v>137</v>
      </c>
    </row>
    <row r="48" spans="1:6" x14ac:dyDescent="0.35">
      <c r="A48" s="71">
        <v>1</v>
      </c>
      <c r="B48" s="72">
        <v>46047</v>
      </c>
      <c r="C48" s="73">
        <v>0</v>
      </c>
      <c r="D48" s="74">
        <v>45992</v>
      </c>
      <c r="E48" s="69" t="s">
        <v>136</v>
      </c>
      <c r="F48" s="69" t="s">
        <v>137</v>
      </c>
    </row>
    <row r="49" spans="1:6" x14ac:dyDescent="0.35">
      <c r="A49" s="71">
        <v>2</v>
      </c>
      <c r="B49" s="72">
        <v>46048</v>
      </c>
      <c r="C49" s="73">
        <v>1</v>
      </c>
      <c r="D49" s="74">
        <v>46047</v>
      </c>
      <c r="E49" s="69" t="s">
        <v>145</v>
      </c>
      <c r="F49" s="69" t="s">
        <v>136</v>
      </c>
    </row>
    <row r="50" spans="1:6" x14ac:dyDescent="0.35">
      <c r="A50" s="71">
        <v>2</v>
      </c>
      <c r="B50" s="72">
        <v>46049</v>
      </c>
      <c r="C50" s="73">
        <v>1</v>
      </c>
      <c r="D50" s="74">
        <v>46046</v>
      </c>
      <c r="E50" s="69" t="s">
        <v>145</v>
      </c>
      <c r="F50" s="69" t="s">
        <v>136</v>
      </c>
    </row>
    <row r="51" spans="1:6" x14ac:dyDescent="0.35">
      <c r="A51" s="71">
        <v>2</v>
      </c>
      <c r="B51" s="72">
        <v>46050</v>
      </c>
      <c r="C51" s="73">
        <v>1</v>
      </c>
      <c r="D51" s="74">
        <v>46045</v>
      </c>
      <c r="E51" s="69" t="s">
        <v>145</v>
      </c>
      <c r="F51" s="69" t="s">
        <v>136</v>
      </c>
    </row>
    <row r="52" spans="1:6" x14ac:dyDescent="0.35">
      <c r="A52" s="71">
        <v>2</v>
      </c>
      <c r="B52" s="72">
        <v>46051</v>
      </c>
      <c r="C52" s="73">
        <v>1</v>
      </c>
      <c r="D52" s="74">
        <v>46044</v>
      </c>
      <c r="E52" s="69" t="s">
        <v>145</v>
      </c>
      <c r="F52" s="69" t="s">
        <v>136</v>
      </c>
    </row>
    <row r="53" spans="1:6" x14ac:dyDescent="0.35">
      <c r="A53" s="71">
        <v>2</v>
      </c>
      <c r="B53" s="72">
        <v>46052</v>
      </c>
      <c r="C53" s="73">
        <v>1</v>
      </c>
      <c r="D53" s="74">
        <v>46043</v>
      </c>
      <c r="E53" s="69" t="s">
        <v>145</v>
      </c>
      <c r="F53" s="69" t="s">
        <v>136</v>
      </c>
    </row>
    <row r="54" spans="1:6" x14ac:dyDescent="0.35">
      <c r="A54" s="71">
        <v>2</v>
      </c>
      <c r="B54" s="72">
        <v>46053</v>
      </c>
      <c r="C54" s="73">
        <v>1</v>
      </c>
      <c r="D54" s="74">
        <v>46042</v>
      </c>
      <c r="E54" s="69" t="s">
        <v>145</v>
      </c>
      <c r="F54" s="69" t="s">
        <v>136</v>
      </c>
    </row>
    <row r="55" spans="1:6" x14ac:dyDescent="0.35">
      <c r="A55" s="71">
        <v>2</v>
      </c>
      <c r="B55" s="72">
        <v>46054</v>
      </c>
      <c r="C55" s="73">
        <v>1</v>
      </c>
      <c r="D55" s="74">
        <v>46041</v>
      </c>
      <c r="E55" s="69" t="s">
        <v>145</v>
      </c>
      <c r="F55" s="69" t="s">
        <v>136</v>
      </c>
    </row>
    <row r="56" spans="1:6" x14ac:dyDescent="0.35">
      <c r="A56" s="71">
        <v>2</v>
      </c>
      <c r="B56" s="72">
        <v>46055</v>
      </c>
      <c r="C56" s="73">
        <v>1</v>
      </c>
      <c r="D56" s="74">
        <v>46040</v>
      </c>
      <c r="E56" s="69" t="s">
        <v>145</v>
      </c>
      <c r="F56" s="69" t="s">
        <v>136</v>
      </c>
    </row>
    <row r="57" spans="1:6" x14ac:dyDescent="0.35">
      <c r="A57" s="71">
        <v>2</v>
      </c>
      <c r="B57" s="72">
        <v>46056</v>
      </c>
      <c r="C57" s="73">
        <v>1</v>
      </c>
      <c r="D57" s="74">
        <v>46039</v>
      </c>
      <c r="E57" s="69" t="s">
        <v>145</v>
      </c>
      <c r="F57" s="69" t="s">
        <v>136</v>
      </c>
    </row>
    <row r="58" spans="1:6" x14ac:dyDescent="0.35">
      <c r="A58" s="71">
        <v>2</v>
      </c>
      <c r="B58" s="72">
        <v>46057</v>
      </c>
      <c r="C58" s="73">
        <v>1</v>
      </c>
      <c r="D58" s="74">
        <v>46038</v>
      </c>
      <c r="E58" s="69" t="s">
        <v>145</v>
      </c>
      <c r="F58" s="69" t="s">
        <v>136</v>
      </c>
    </row>
    <row r="59" spans="1:6" x14ac:dyDescent="0.35">
      <c r="A59" s="71">
        <v>2</v>
      </c>
      <c r="B59" s="72">
        <v>46058</v>
      </c>
      <c r="C59" s="73">
        <v>1</v>
      </c>
      <c r="D59" s="74">
        <v>46037</v>
      </c>
      <c r="E59" s="69" t="s">
        <v>145</v>
      </c>
      <c r="F59" s="69" t="s">
        <v>136</v>
      </c>
    </row>
    <row r="60" spans="1:6" x14ac:dyDescent="0.35">
      <c r="A60" s="71">
        <v>2</v>
      </c>
      <c r="B60" s="72">
        <v>46059</v>
      </c>
      <c r="C60" s="73">
        <v>1</v>
      </c>
      <c r="D60" s="74">
        <v>46036</v>
      </c>
      <c r="E60" s="69" t="s">
        <v>145</v>
      </c>
      <c r="F60" s="69" t="s">
        <v>136</v>
      </c>
    </row>
    <row r="61" spans="1:6" x14ac:dyDescent="0.35">
      <c r="A61" s="71">
        <v>2</v>
      </c>
      <c r="B61" s="72">
        <v>46060</v>
      </c>
      <c r="C61" s="73">
        <v>1</v>
      </c>
      <c r="D61" s="74">
        <v>46035</v>
      </c>
      <c r="E61" s="69" t="s">
        <v>145</v>
      </c>
      <c r="F61" s="69" t="s">
        <v>136</v>
      </c>
    </row>
    <row r="62" spans="1:6" x14ac:dyDescent="0.35">
      <c r="A62" s="71">
        <v>2</v>
      </c>
      <c r="B62" s="72">
        <v>46061</v>
      </c>
      <c r="C62" s="73">
        <v>1</v>
      </c>
      <c r="D62" s="74">
        <v>46034</v>
      </c>
      <c r="E62" s="69" t="s">
        <v>145</v>
      </c>
      <c r="F62" s="69" t="s">
        <v>136</v>
      </c>
    </row>
    <row r="63" spans="1:6" x14ac:dyDescent="0.35">
      <c r="A63" s="71">
        <v>2</v>
      </c>
      <c r="B63" s="72">
        <v>46062</v>
      </c>
      <c r="C63" s="73">
        <v>1</v>
      </c>
      <c r="D63" s="74">
        <v>46033</v>
      </c>
      <c r="E63" s="69" t="s">
        <v>145</v>
      </c>
      <c r="F63" s="69" t="s">
        <v>136</v>
      </c>
    </row>
    <row r="64" spans="1:6" x14ac:dyDescent="0.35">
      <c r="A64" s="71">
        <v>2</v>
      </c>
      <c r="B64" s="72">
        <v>46063</v>
      </c>
      <c r="C64" s="73">
        <v>1</v>
      </c>
      <c r="D64" s="74">
        <v>46032</v>
      </c>
      <c r="E64" s="69" t="s">
        <v>145</v>
      </c>
      <c r="F64" s="69" t="s">
        <v>136</v>
      </c>
    </row>
    <row r="65" spans="1:6" x14ac:dyDescent="0.35">
      <c r="A65" s="71">
        <v>2</v>
      </c>
      <c r="B65" s="72">
        <v>46064</v>
      </c>
      <c r="C65" s="73">
        <v>1</v>
      </c>
      <c r="D65" s="74">
        <v>46031</v>
      </c>
      <c r="E65" s="69" t="s">
        <v>145</v>
      </c>
      <c r="F65" s="69" t="s">
        <v>136</v>
      </c>
    </row>
    <row r="66" spans="1:6" x14ac:dyDescent="0.35">
      <c r="A66" s="71">
        <v>2</v>
      </c>
      <c r="B66" s="72">
        <v>46065</v>
      </c>
      <c r="C66" s="73">
        <v>1</v>
      </c>
      <c r="D66" s="74">
        <v>46030</v>
      </c>
      <c r="E66" s="69" t="s">
        <v>145</v>
      </c>
      <c r="F66" s="69" t="s">
        <v>136</v>
      </c>
    </row>
    <row r="67" spans="1:6" x14ac:dyDescent="0.35">
      <c r="A67" s="71">
        <v>2</v>
      </c>
      <c r="B67" s="72">
        <v>46066</v>
      </c>
      <c r="C67" s="73">
        <v>1</v>
      </c>
      <c r="D67" s="74">
        <v>46029</v>
      </c>
      <c r="E67" s="69" t="s">
        <v>145</v>
      </c>
      <c r="F67" s="69" t="s">
        <v>136</v>
      </c>
    </row>
    <row r="68" spans="1:6" x14ac:dyDescent="0.35">
      <c r="A68" s="71">
        <v>2</v>
      </c>
      <c r="B68" s="72">
        <v>46067</v>
      </c>
      <c r="C68" s="73">
        <v>1</v>
      </c>
      <c r="D68" s="74">
        <v>46028</v>
      </c>
      <c r="E68" s="69" t="s">
        <v>145</v>
      </c>
      <c r="F68" s="69" t="s">
        <v>136</v>
      </c>
    </row>
    <row r="69" spans="1:6" x14ac:dyDescent="0.35">
      <c r="A69" s="71">
        <v>2</v>
      </c>
      <c r="B69" s="72">
        <v>46068</v>
      </c>
      <c r="C69" s="73">
        <v>1</v>
      </c>
      <c r="D69" s="74">
        <v>46027</v>
      </c>
      <c r="E69" s="69" t="s">
        <v>145</v>
      </c>
      <c r="F69" s="69" t="s">
        <v>136</v>
      </c>
    </row>
    <row r="70" spans="1:6" x14ac:dyDescent="0.35">
      <c r="A70" s="71">
        <v>2</v>
      </c>
      <c r="B70" s="72">
        <v>46069</v>
      </c>
      <c r="C70" s="73">
        <v>1</v>
      </c>
      <c r="D70" s="74">
        <v>46026</v>
      </c>
      <c r="E70" s="69" t="s">
        <v>145</v>
      </c>
      <c r="F70" s="69" t="s">
        <v>136</v>
      </c>
    </row>
    <row r="71" spans="1:6" x14ac:dyDescent="0.35">
      <c r="A71" s="71">
        <v>2</v>
      </c>
      <c r="B71" s="72">
        <v>46070</v>
      </c>
      <c r="C71" s="73">
        <v>1</v>
      </c>
      <c r="D71" s="74">
        <v>46025</v>
      </c>
      <c r="E71" s="69" t="s">
        <v>145</v>
      </c>
      <c r="F71" s="69" t="s">
        <v>136</v>
      </c>
    </row>
    <row r="72" spans="1:6" x14ac:dyDescent="0.35">
      <c r="A72" s="71">
        <v>2</v>
      </c>
      <c r="B72" s="72">
        <v>46071</v>
      </c>
      <c r="C72" s="73">
        <v>1</v>
      </c>
      <c r="D72" s="74">
        <v>46024</v>
      </c>
      <c r="E72" s="69" t="s">
        <v>145</v>
      </c>
      <c r="F72" s="69" t="s">
        <v>136</v>
      </c>
    </row>
    <row r="73" spans="1:6" x14ac:dyDescent="0.35">
      <c r="A73" s="71">
        <v>2</v>
      </c>
      <c r="B73" s="72">
        <v>46072</v>
      </c>
      <c r="C73" s="73">
        <v>1</v>
      </c>
      <c r="D73" s="74">
        <v>46023</v>
      </c>
      <c r="E73" s="69" t="s">
        <v>145</v>
      </c>
      <c r="F73" s="69" t="s">
        <v>136</v>
      </c>
    </row>
    <row r="74" spans="1:6" x14ac:dyDescent="0.35">
      <c r="A74" s="71">
        <v>2</v>
      </c>
      <c r="B74" s="72">
        <v>46073</v>
      </c>
      <c r="C74" s="73">
        <v>1</v>
      </c>
      <c r="D74" s="74">
        <v>46022</v>
      </c>
      <c r="E74" s="69" t="s">
        <v>145</v>
      </c>
      <c r="F74" s="69" t="s">
        <v>136</v>
      </c>
    </row>
    <row r="75" spans="1:6" x14ac:dyDescent="0.35">
      <c r="A75" s="71">
        <v>2</v>
      </c>
      <c r="B75" s="72">
        <v>46074</v>
      </c>
      <c r="C75" s="73">
        <v>1</v>
      </c>
      <c r="D75" s="74">
        <v>46021</v>
      </c>
      <c r="E75" s="69" t="s">
        <v>145</v>
      </c>
      <c r="F75" s="69" t="s">
        <v>136</v>
      </c>
    </row>
    <row r="76" spans="1:6" x14ac:dyDescent="0.35">
      <c r="A76" s="71">
        <v>2</v>
      </c>
      <c r="B76" s="72">
        <v>46075</v>
      </c>
      <c r="C76" s="73">
        <v>1</v>
      </c>
      <c r="D76" s="74">
        <v>46020</v>
      </c>
      <c r="E76" s="69" t="s">
        <v>145</v>
      </c>
      <c r="F76" s="69" t="s">
        <v>136</v>
      </c>
    </row>
    <row r="77" spans="1:6" x14ac:dyDescent="0.35">
      <c r="A77" s="71">
        <v>3</v>
      </c>
      <c r="B77" s="72">
        <v>46076</v>
      </c>
      <c r="C77" s="73">
        <v>2</v>
      </c>
      <c r="D77" s="74">
        <v>46075</v>
      </c>
      <c r="E77" s="69" t="s">
        <v>146</v>
      </c>
      <c r="F77" s="69" t="s">
        <v>145</v>
      </c>
    </row>
    <row r="78" spans="1:6" x14ac:dyDescent="0.35">
      <c r="A78" s="71">
        <v>3</v>
      </c>
      <c r="B78" s="72">
        <v>46077</v>
      </c>
      <c r="C78" s="73">
        <v>2</v>
      </c>
      <c r="D78" s="74">
        <v>46074</v>
      </c>
      <c r="E78" s="69" t="s">
        <v>146</v>
      </c>
      <c r="F78" s="69" t="s">
        <v>145</v>
      </c>
    </row>
    <row r="79" spans="1:6" x14ac:dyDescent="0.35">
      <c r="A79" s="71">
        <v>3</v>
      </c>
      <c r="B79" s="72">
        <v>46078</v>
      </c>
      <c r="C79" s="73">
        <v>2</v>
      </c>
      <c r="D79" s="74">
        <v>46073</v>
      </c>
      <c r="E79" s="69" t="s">
        <v>146</v>
      </c>
      <c r="F79" s="69" t="s">
        <v>145</v>
      </c>
    </row>
    <row r="80" spans="1:6" x14ac:dyDescent="0.35">
      <c r="A80" s="71">
        <v>3</v>
      </c>
      <c r="B80" s="72">
        <v>46079</v>
      </c>
      <c r="C80" s="73">
        <v>2</v>
      </c>
      <c r="D80" s="74">
        <v>46072</v>
      </c>
      <c r="E80" s="69" t="s">
        <v>146</v>
      </c>
      <c r="F80" s="69" t="s">
        <v>145</v>
      </c>
    </row>
    <row r="81" spans="1:6" x14ac:dyDescent="0.35">
      <c r="A81" s="71">
        <v>3</v>
      </c>
      <c r="B81" s="72">
        <v>46080</v>
      </c>
      <c r="C81" s="73">
        <v>2</v>
      </c>
      <c r="D81" s="74">
        <v>46071</v>
      </c>
      <c r="E81" s="69" t="s">
        <v>146</v>
      </c>
      <c r="F81" s="69" t="s">
        <v>145</v>
      </c>
    </row>
    <row r="82" spans="1:6" x14ac:dyDescent="0.35">
      <c r="A82" s="71">
        <v>3</v>
      </c>
      <c r="B82" s="72">
        <v>46081</v>
      </c>
      <c r="C82" s="73">
        <v>2</v>
      </c>
      <c r="D82" s="74">
        <v>46070</v>
      </c>
      <c r="E82" s="69" t="s">
        <v>146</v>
      </c>
      <c r="F82" s="69" t="s">
        <v>145</v>
      </c>
    </row>
    <row r="83" spans="1:6" x14ac:dyDescent="0.35">
      <c r="A83" s="71">
        <v>3</v>
      </c>
      <c r="B83" s="72">
        <v>46082</v>
      </c>
      <c r="C83" s="73">
        <v>2</v>
      </c>
      <c r="D83" s="74">
        <v>46069</v>
      </c>
      <c r="E83" s="69" t="s">
        <v>146</v>
      </c>
      <c r="F83" s="69" t="s">
        <v>145</v>
      </c>
    </row>
    <row r="84" spans="1:6" x14ac:dyDescent="0.35">
      <c r="A84" s="71">
        <v>3</v>
      </c>
      <c r="B84" s="72">
        <v>46083</v>
      </c>
      <c r="C84" s="73">
        <v>2</v>
      </c>
      <c r="D84" s="74">
        <v>46068</v>
      </c>
      <c r="E84" s="69" t="s">
        <v>146</v>
      </c>
      <c r="F84" s="69" t="s">
        <v>145</v>
      </c>
    </row>
    <row r="85" spans="1:6" x14ac:dyDescent="0.35">
      <c r="A85" s="71">
        <v>3</v>
      </c>
      <c r="B85" s="72">
        <v>46084</v>
      </c>
      <c r="C85" s="73">
        <v>2</v>
      </c>
      <c r="D85" s="74">
        <v>46067</v>
      </c>
      <c r="E85" s="69" t="s">
        <v>146</v>
      </c>
      <c r="F85" s="69" t="s">
        <v>145</v>
      </c>
    </row>
    <row r="86" spans="1:6" x14ac:dyDescent="0.35">
      <c r="A86" s="71">
        <v>3</v>
      </c>
      <c r="B86" s="72">
        <v>46085</v>
      </c>
      <c r="C86" s="73">
        <v>2</v>
      </c>
      <c r="D86" s="74">
        <v>46066</v>
      </c>
      <c r="E86" s="69" t="s">
        <v>146</v>
      </c>
      <c r="F86" s="69" t="s">
        <v>145</v>
      </c>
    </row>
    <row r="87" spans="1:6" x14ac:dyDescent="0.35">
      <c r="A87" s="71">
        <v>3</v>
      </c>
      <c r="B87" s="72">
        <v>46086</v>
      </c>
      <c r="C87" s="73">
        <v>2</v>
      </c>
      <c r="D87" s="74">
        <v>46065</v>
      </c>
      <c r="E87" s="69" t="s">
        <v>146</v>
      </c>
      <c r="F87" s="69" t="s">
        <v>145</v>
      </c>
    </row>
    <row r="88" spans="1:6" x14ac:dyDescent="0.35">
      <c r="A88" s="71">
        <v>3</v>
      </c>
      <c r="B88" s="72">
        <v>46087</v>
      </c>
      <c r="C88" s="73">
        <v>2</v>
      </c>
      <c r="D88" s="74">
        <v>46064</v>
      </c>
      <c r="E88" s="69" t="s">
        <v>146</v>
      </c>
      <c r="F88" s="69" t="s">
        <v>145</v>
      </c>
    </row>
    <row r="89" spans="1:6" x14ac:dyDescent="0.35">
      <c r="A89" s="71">
        <v>3</v>
      </c>
      <c r="B89" s="72">
        <v>46088</v>
      </c>
      <c r="C89" s="73">
        <v>2</v>
      </c>
      <c r="D89" s="74">
        <v>46063</v>
      </c>
      <c r="E89" s="69" t="s">
        <v>146</v>
      </c>
      <c r="F89" s="69" t="s">
        <v>145</v>
      </c>
    </row>
    <row r="90" spans="1:6" x14ac:dyDescent="0.35">
      <c r="A90" s="71">
        <v>3</v>
      </c>
      <c r="B90" s="72">
        <v>46089</v>
      </c>
      <c r="C90" s="73">
        <v>2</v>
      </c>
      <c r="D90" s="74">
        <v>46062</v>
      </c>
      <c r="E90" s="69" t="s">
        <v>146</v>
      </c>
      <c r="F90" s="69" t="s">
        <v>145</v>
      </c>
    </row>
    <row r="91" spans="1:6" x14ac:dyDescent="0.35">
      <c r="A91" s="71">
        <v>3</v>
      </c>
      <c r="B91" s="72">
        <v>46090</v>
      </c>
      <c r="C91" s="73">
        <v>2</v>
      </c>
      <c r="D91" s="74">
        <v>46061</v>
      </c>
      <c r="E91" s="69" t="s">
        <v>146</v>
      </c>
      <c r="F91" s="69" t="s">
        <v>145</v>
      </c>
    </row>
    <row r="92" spans="1:6" x14ac:dyDescent="0.35">
      <c r="A92" s="71">
        <v>3</v>
      </c>
      <c r="B92" s="72">
        <v>46091</v>
      </c>
      <c r="C92" s="73">
        <v>2</v>
      </c>
      <c r="D92" s="74">
        <v>46060</v>
      </c>
      <c r="E92" s="69" t="s">
        <v>146</v>
      </c>
      <c r="F92" s="69" t="s">
        <v>145</v>
      </c>
    </row>
    <row r="93" spans="1:6" x14ac:dyDescent="0.35">
      <c r="A93" s="71">
        <v>3</v>
      </c>
      <c r="B93" s="72">
        <v>46092</v>
      </c>
      <c r="C93" s="73">
        <v>2</v>
      </c>
      <c r="D93" s="74">
        <v>46059</v>
      </c>
      <c r="E93" s="69" t="s">
        <v>146</v>
      </c>
      <c r="F93" s="69" t="s">
        <v>145</v>
      </c>
    </row>
    <row r="94" spans="1:6" x14ac:dyDescent="0.35">
      <c r="A94" s="71">
        <v>3</v>
      </c>
      <c r="B94" s="72">
        <v>46093</v>
      </c>
      <c r="C94" s="73">
        <v>2</v>
      </c>
      <c r="D94" s="74">
        <v>46058</v>
      </c>
      <c r="E94" s="69" t="s">
        <v>146</v>
      </c>
      <c r="F94" s="69" t="s">
        <v>145</v>
      </c>
    </row>
    <row r="95" spans="1:6" x14ac:dyDescent="0.35">
      <c r="A95" s="71">
        <v>3</v>
      </c>
      <c r="B95" s="72">
        <v>46094</v>
      </c>
      <c r="C95" s="73">
        <v>2</v>
      </c>
      <c r="D95" s="74">
        <v>46057</v>
      </c>
      <c r="E95" s="69" t="s">
        <v>146</v>
      </c>
      <c r="F95" s="69" t="s">
        <v>145</v>
      </c>
    </row>
    <row r="96" spans="1:6" x14ac:dyDescent="0.35">
      <c r="A96" s="71">
        <v>3</v>
      </c>
      <c r="B96" s="72">
        <v>46095</v>
      </c>
      <c r="C96" s="73">
        <v>2</v>
      </c>
      <c r="D96" s="74">
        <v>46056</v>
      </c>
      <c r="E96" s="69" t="s">
        <v>146</v>
      </c>
      <c r="F96" s="69" t="s">
        <v>145</v>
      </c>
    </row>
    <row r="97" spans="1:6" x14ac:dyDescent="0.35">
      <c r="A97" s="71">
        <v>3</v>
      </c>
      <c r="B97" s="72">
        <v>46096</v>
      </c>
      <c r="C97" s="73">
        <v>2</v>
      </c>
      <c r="D97" s="74">
        <v>46055</v>
      </c>
      <c r="E97" s="69" t="s">
        <v>146</v>
      </c>
      <c r="F97" s="69" t="s">
        <v>145</v>
      </c>
    </row>
    <row r="98" spans="1:6" x14ac:dyDescent="0.35">
      <c r="A98" s="71">
        <v>3</v>
      </c>
      <c r="B98" s="72">
        <v>46097</v>
      </c>
      <c r="C98" s="73">
        <v>2</v>
      </c>
      <c r="D98" s="74">
        <v>46054</v>
      </c>
      <c r="E98" s="69" t="s">
        <v>146</v>
      </c>
      <c r="F98" s="69" t="s">
        <v>145</v>
      </c>
    </row>
    <row r="99" spans="1:6" x14ac:dyDescent="0.35">
      <c r="A99" s="71">
        <v>3</v>
      </c>
      <c r="B99" s="72">
        <v>46098</v>
      </c>
      <c r="C99" s="73">
        <v>2</v>
      </c>
      <c r="D99" s="74">
        <v>46053</v>
      </c>
      <c r="E99" s="69" t="s">
        <v>146</v>
      </c>
      <c r="F99" s="69" t="s">
        <v>145</v>
      </c>
    </row>
    <row r="100" spans="1:6" x14ac:dyDescent="0.35">
      <c r="A100" s="71">
        <v>3</v>
      </c>
      <c r="B100" s="72">
        <v>46099</v>
      </c>
      <c r="C100" s="73">
        <v>2</v>
      </c>
      <c r="D100" s="74">
        <v>46052</v>
      </c>
      <c r="E100" s="69" t="s">
        <v>146</v>
      </c>
      <c r="F100" s="69" t="s">
        <v>145</v>
      </c>
    </row>
    <row r="101" spans="1:6" x14ac:dyDescent="0.35">
      <c r="A101" s="71">
        <v>3</v>
      </c>
      <c r="B101" s="72">
        <v>46100</v>
      </c>
      <c r="C101" s="73">
        <v>2</v>
      </c>
      <c r="D101" s="74">
        <v>46051</v>
      </c>
      <c r="E101" s="69" t="s">
        <v>146</v>
      </c>
      <c r="F101" s="69" t="s">
        <v>145</v>
      </c>
    </row>
    <row r="102" spans="1:6" x14ac:dyDescent="0.35">
      <c r="A102" s="71">
        <v>3</v>
      </c>
      <c r="B102" s="72">
        <v>46101</v>
      </c>
      <c r="C102" s="73">
        <v>2</v>
      </c>
      <c r="D102" s="74">
        <v>46050</v>
      </c>
      <c r="E102" s="69" t="s">
        <v>146</v>
      </c>
      <c r="F102" s="69" t="s">
        <v>145</v>
      </c>
    </row>
    <row r="103" spans="1:6" x14ac:dyDescent="0.35">
      <c r="A103" s="71">
        <v>3</v>
      </c>
      <c r="B103" s="72">
        <v>46102</v>
      </c>
      <c r="C103" s="73">
        <v>2</v>
      </c>
      <c r="D103" s="74">
        <v>46049</v>
      </c>
      <c r="E103" s="69" t="s">
        <v>146</v>
      </c>
      <c r="F103" s="69" t="s">
        <v>145</v>
      </c>
    </row>
    <row r="104" spans="1:6" x14ac:dyDescent="0.35">
      <c r="A104" s="71">
        <v>3</v>
      </c>
      <c r="B104" s="72">
        <v>46103</v>
      </c>
      <c r="C104" s="73">
        <v>2</v>
      </c>
      <c r="D104" s="74">
        <v>46048</v>
      </c>
      <c r="E104" s="69" t="s">
        <v>146</v>
      </c>
      <c r="F104" s="69" t="s">
        <v>145</v>
      </c>
    </row>
    <row r="105" spans="1:6" x14ac:dyDescent="0.35">
      <c r="A105" s="71">
        <v>4</v>
      </c>
      <c r="B105" s="72">
        <v>46104</v>
      </c>
      <c r="C105" s="73">
        <v>3</v>
      </c>
      <c r="D105" s="74">
        <v>46103</v>
      </c>
      <c r="E105" s="69" t="s">
        <v>147</v>
      </c>
      <c r="F105" s="69" t="s">
        <v>146</v>
      </c>
    </row>
    <row r="106" spans="1:6" x14ac:dyDescent="0.35">
      <c r="A106" s="71">
        <v>4</v>
      </c>
      <c r="B106" s="72">
        <v>46105</v>
      </c>
      <c r="C106" s="73">
        <v>3</v>
      </c>
      <c r="D106" s="74">
        <v>46102</v>
      </c>
      <c r="E106" s="69" t="s">
        <v>147</v>
      </c>
      <c r="F106" s="69" t="s">
        <v>146</v>
      </c>
    </row>
    <row r="107" spans="1:6" x14ac:dyDescent="0.35">
      <c r="A107" s="71">
        <v>4</v>
      </c>
      <c r="B107" s="72">
        <v>46106</v>
      </c>
      <c r="C107" s="73">
        <v>3</v>
      </c>
      <c r="D107" s="74">
        <v>46101</v>
      </c>
      <c r="E107" s="69" t="s">
        <v>147</v>
      </c>
      <c r="F107" s="69" t="s">
        <v>146</v>
      </c>
    </row>
    <row r="108" spans="1:6" x14ac:dyDescent="0.35">
      <c r="A108" s="71">
        <v>4</v>
      </c>
      <c r="B108" s="72">
        <v>46107</v>
      </c>
      <c r="C108" s="73">
        <v>3</v>
      </c>
      <c r="D108" s="74">
        <v>46100</v>
      </c>
      <c r="E108" s="69" t="s">
        <v>147</v>
      </c>
      <c r="F108" s="69" t="s">
        <v>146</v>
      </c>
    </row>
    <row r="109" spans="1:6" x14ac:dyDescent="0.35">
      <c r="A109" s="71">
        <v>4</v>
      </c>
      <c r="B109" s="72">
        <v>46108</v>
      </c>
      <c r="C109" s="73">
        <v>3</v>
      </c>
      <c r="D109" s="74">
        <v>46099</v>
      </c>
      <c r="E109" s="69" t="s">
        <v>147</v>
      </c>
      <c r="F109" s="69" t="s">
        <v>146</v>
      </c>
    </row>
    <row r="110" spans="1:6" x14ac:dyDescent="0.35">
      <c r="A110" s="71">
        <v>4</v>
      </c>
      <c r="B110" s="72">
        <v>46109</v>
      </c>
      <c r="C110" s="73">
        <v>3</v>
      </c>
      <c r="D110" s="74">
        <v>46098</v>
      </c>
      <c r="E110" s="69" t="s">
        <v>147</v>
      </c>
      <c r="F110" s="69" t="s">
        <v>146</v>
      </c>
    </row>
    <row r="111" spans="1:6" x14ac:dyDescent="0.35">
      <c r="A111" s="71">
        <v>4</v>
      </c>
      <c r="B111" s="72">
        <v>46110</v>
      </c>
      <c r="C111" s="73">
        <v>3</v>
      </c>
      <c r="D111" s="74">
        <v>46097</v>
      </c>
      <c r="E111" s="69" t="s">
        <v>147</v>
      </c>
      <c r="F111" s="69" t="s">
        <v>146</v>
      </c>
    </row>
    <row r="112" spans="1:6" x14ac:dyDescent="0.35">
      <c r="A112" s="71">
        <v>4</v>
      </c>
      <c r="B112" s="72">
        <v>46111</v>
      </c>
      <c r="C112" s="73">
        <v>3</v>
      </c>
      <c r="D112" s="74">
        <v>46096</v>
      </c>
      <c r="E112" s="69" t="s">
        <v>147</v>
      </c>
      <c r="F112" s="69" t="s">
        <v>146</v>
      </c>
    </row>
    <row r="113" spans="1:6" x14ac:dyDescent="0.35">
      <c r="A113" s="71">
        <v>4</v>
      </c>
      <c r="B113" s="72">
        <v>46112</v>
      </c>
      <c r="C113" s="73">
        <v>3</v>
      </c>
      <c r="D113" s="74">
        <v>46095</v>
      </c>
      <c r="E113" s="69" t="s">
        <v>147</v>
      </c>
      <c r="F113" s="69" t="s">
        <v>146</v>
      </c>
    </row>
    <row r="114" spans="1:6" x14ac:dyDescent="0.35">
      <c r="A114" s="71">
        <v>4</v>
      </c>
      <c r="B114" s="72">
        <v>46113</v>
      </c>
      <c r="C114" s="73">
        <v>3</v>
      </c>
      <c r="D114" s="74">
        <v>46094</v>
      </c>
      <c r="E114" s="69" t="s">
        <v>147</v>
      </c>
      <c r="F114" s="69" t="s">
        <v>146</v>
      </c>
    </row>
    <row r="115" spans="1:6" x14ac:dyDescent="0.35">
      <c r="A115" s="71">
        <v>4</v>
      </c>
      <c r="B115" s="72">
        <v>46114</v>
      </c>
      <c r="C115" s="73">
        <v>3</v>
      </c>
      <c r="D115" s="74">
        <v>46093</v>
      </c>
      <c r="E115" s="69" t="s">
        <v>147</v>
      </c>
      <c r="F115" s="69" t="s">
        <v>146</v>
      </c>
    </row>
    <row r="116" spans="1:6" x14ac:dyDescent="0.35">
      <c r="A116" s="71">
        <v>4</v>
      </c>
      <c r="B116" s="72">
        <v>46115</v>
      </c>
      <c r="C116" s="73">
        <v>3</v>
      </c>
      <c r="D116" s="74">
        <v>46092</v>
      </c>
      <c r="E116" s="69" t="s">
        <v>147</v>
      </c>
      <c r="F116" s="69" t="s">
        <v>146</v>
      </c>
    </row>
    <row r="117" spans="1:6" x14ac:dyDescent="0.35">
      <c r="A117" s="71">
        <v>4</v>
      </c>
      <c r="B117" s="72">
        <v>46116</v>
      </c>
      <c r="C117" s="73">
        <v>3</v>
      </c>
      <c r="D117" s="74">
        <v>46091</v>
      </c>
      <c r="E117" s="69" t="s">
        <v>147</v>
      </c>
      <c r="F117" s="69" t="s">
        <v>146</v>
      </c>
    </row>
    <row r="118" spans="1:6" x14ac:dyDescent="0.35">
      <c r="A118" s="71">
        <v>4</v>
      </c>
      <c r="B118" s="72">
        <v>46117</v>
      </c>
      <c r="C118" s="73">
        <v>3</v>
      </c>
      <c r="D118" s="74">
        <v>46090</v>
      </c>
      <c r="E118" s="69" t="s">
        <v>147</v>
      </c>
      <c r="F118" s="69" t="s">
        <v>146</v>
      </c>
    </row>
    <row r="119" spans="1:6" x14ac:dyDescent="0.35">
      <c r="A119" s="71">
        <v>4</v>
      </c>
      <c r="B119" s="72">
        <v>46118</v>
      </c>
      <c r="C119" s="73">
        <v>3</v>
      </c>
      <c r="D119" s="74">
        <v>46089</v>
      </c>
      <c r="E119" s="69" t="s">
        <v>147</v>
      </c>
      <c r="F119" s="69" t="s">
        <v>146</v>
      </c>
    </row>
    <row r="120" spans="1:6" x14ac:dyDescent="0.35">
      <c r="A120" s="71">
        <v>4</v>
      </c>
      <c r="B120" s="72">
        <v>46119</v>
      </c>
      <c r="C120" s="73">
        <v>3</v>
      </c>
      <c r="D120" s="74">
        <v>46088</v>
      </c>
      <c r="E120" s="69" t="s">
        <v>147</v>
      </c>
      <c r="F120" s="69" t="s">
        <v>146</v>
      </c>
    </row>
    <row r="121" spans="1:6" x14ac:dyDescent="0.35">
      <c r="A121" s="71">
        <v>4</v>
      </c>
      <c r="B121" s="72">
        <v>46120</v>
      </c>
      <c r="C121" s="73">
        <v>3</v>
      </c>
      <c r="D121" s="74">
        <v>46087</v>
      </c>
      <c r="E121" s="69" t="s">
        <v>147</v>
      </c>
      <c r="F121" s="69" t="s">
        <v>146</v>
      </c>
    </row>
    <row r="122" spans="1:6" x14ac:dyDescent="0.35">
      <c r="A122" s="71">
        <v>4</v>
      </c>
      <c r="B122" s="72">
        <v>46121</v>
      </c>
      <c r="C122" s="73">
        <v>3</v>
      </c>
      <c r="D122" s="74">
        <v>46086</v>
      </c>
      <c r="E122" s="69" t="s">
        <v>147</v>
      </c>
      <c r="F122" s="69" t="s">
        <v>146</v>
      </c>
    </row>
    <row r="123" spans="1:6" x14ac:dyDescent="0.35">
      <c r="A123" s="71">
        <v>4</v>
      </c>
      <c r="B123" s="72">
        <v>46122</v>
      </c>
      <c r="C123" s="73">
        <v>3</v>
      </c>
      <c r="D123" s="74">
        <v>46085</v>
      </c>
      <c r="E123" s="69" t="s">
        <v>147</v>
      </c>
      <c r="F123" s="69" t="s">
        <v>146</v>
      </c>
    </row>
    <row r="124" spans="1:6" x14ac:dyDescent="0.35">
      <c r="A124" s="71">
        <v>4</v>
      </c>
      <c r="B124" s="72">
        <v>46123</v>
      </c>
      <c r="C124" s="73">
        <v>3</v>
      </c>
      <c r="D124" s="74">
        <v>46084</v>
      </c>
      <c r="E124" s="69" t="s">
        <v>147</v>
      </c>
      <c r="F124" s="69" t="s">
        <v>146</v>
      </c>
    </row>
    <row r="125" spans="1:6" x14ac:dyDescent="0.35">
      <c r="A125" s="71">
        <v>4</v>
      </c>
      <c r="B125" s="72">
        <v>46124</v>
      </c>
      <c r="C125" s="73">
        <v>3</v>
      </c>
      <c r="D125" s="74">
        <v>46083</v>
      </c>
      <c r="E125" s="69" t="s">
        <v>147</v>
      </c>
      <c r="F125" s="69" t="s">
        <v>146</v>
      </c>
    </row>
    <row r="126" spans="1:6" x14ac:dyDescent="0.35">
      <c r="A126" s="71">
        <v>4</v>
      </c>
      <c r="B126" s="72">
        <v>46125</v>
      </c>
      <c r="C126" s="73">
        <v>3</v>
      </c>
      <c r="D126" s="74">
        <v>46082</v>
      </c>
      <c r="E126" s="69" t="s">
        <v>147</v>
      </c>
      <c r="F126" s="69" t="s">
        <v>146</v>
      </c>
    </row>
    <row r="127" spans="1:6" x14ac:dyDescent="0.35">
      <c r="A127" s="71">
        <v>4</v>
      </c>
      <c r="B127" s="72">
        <v>46126</v>
      </c>
      <c r="C127" s="73">
        <v>3</v>
      </c>
      <c r="D127" s="74">
        <v>46081</v>
      </c>
      <c r="E127" s="69" t="s">
        <v>147</v>
      </c>
      <c r="F127" s="69" t="s">
        <v>146</v>
      </c>
    </row>
    <row r="128" spans="1:6" x14ac:dyDescent="0.35">
      <c r="A128" s="71">
        <v>4</v>
      </c>
      <c r="B128" s="72">
        <v>46127</v>
      </c>
      <c r="C128" s="73">
        <v>3</v>
      </c>
      <c r="D128" s="74">
        <v>46080</v>
      </c>
      <c r="E128" s="69" t="s">
        <v>147</v>
      </c>
      <c r="F128" s="69" t="s">
        <v>146</v>
      </c>
    </row>
    <row r="129" spans="1:6" x14ac:dyDescent="0.35">
      <c r="A129" s="71">
        <v>4</v>
      </c>
      <c r="B129" s="72">
        <v>46128</v>
      </c>
      <c r="C129" s="73">
        <v>3</v>
      </c>
      <c r="D129" s="74">
        <v>46079</v>
      </c>
      <c r="E129" s="69" t="s">
        <v>147</v>
      </c>
      <c r="F129" s="69" t="s">
        <v>146</v>
      </c>
    </row>
    <row r="130" spans="1:6" x14ac:dyDescent="0.35">
      <c r="A130" s="71">
        <v>4</v>
      </c>
      <c r="B130" s="72">
        <v>46129</v>
      </c>
      <c r="C130" s="73">
        <v>3</v>
      </c>
      <c r="D130" s="74">
        <v>46078</v>
      </c>
      <c r="E130" s="69" t="s">
        <v>147</v>
      </c>
      <c r="F130" s="69" t="s">
        <v>146</v>
      </c>
    </row>
    <row r="131" spans="1:6" x14ac:dyDescent="0.35">
      <c r="A131" s="71">
        <v>4</v>
      </c>
      <c r="B131" s="72">
        <v>46130</v>
      </c>
      <c r="C131" s="73">
        <v>3</v>
      </c>
      <c r="D131" s="74">
        <v>46077</v>
      </c>
      <c r="E131" s="69" t="s">
        <v>147</v>
      </c>
      <c r="F131" s="69" t="s">
        <v>146</v>
      </c>
    </row>
    <row r="132" spans="1:6" x14ac:dyDescent="0.35">
      <c r="A132" s="71">
        <v>4</v>
      </c>
      <c r="B132" s="72">
        <v>46131</v>
      </c>
      <c r="C132" s="73">
        <v>3</v>
      </c>
      <c r="D132" s="74">
        <v>46076</v>
      </c>
      <c r="E132" s="69" t="s">
        <v>147</v>
      </c>
      <c r="F132" s="69" t="s">
        <v>146</v>
      </c>
    </row>
    <row r="133" spans="1:6" x14ac:dyDescent="0.35">
      <c r="A133" s="71">
        <v>5</v>
      </c>
      <c r="B133" s="72">
        <v>46132</v>
      </c>
      <c r="C133" s="73">
        <v>4</v>
      </c>
      <c r="D133" s="74">
        <v>46131</v>
      </c>
      <c r="E133" s="69" t="s">
        <v>148</v>
      </c>
      <c r="F133" s="69" t="s">
        <v>147</v>
      </c>
    </row>
    <row r="134" spans="1:6" x14ac:dyDescent="0.35">
      <c r="A134" s="71">
        <v>5</v>
      </c>
      <c r="B134" s="72">
        <v>46133</v>
      </c>
      <c r="C134" s="73">
        <v>4</v>
      </c>
      <c r="D134" s="74">
        <v>46130</v>
      </c>
      <c r="E134" s="69" t="s">
        <v>148</v>
      </c>
      <c r="F134" s="69" t="s">
        <v>147</v>
      </c>
    </row>
    <row r="135" spans="1:6" x14ac:dyDescent="0.35">
      <c r="A135" s="71">
        <v>5</v>
      </c>
      <c r="B135" s="72">
        <v>46134</v>
      </c>
      <c r="C135" s="73">
        <v>4</v>
      </c>
      <c r="D135" s="74">
        <v>46129</v>
      </c>
      <c r="E135" s="69" t="s">
        <v>148</v>
      </c>
      <c r="F135" s="69" t="s">
        <v>147</v>
      </c>
    </row>
    <row r="136" spans="1:6" x14ac:dyDescent="0.35">
      <c r="A136" s="71">
        <v>5</v>
      </c>
      <c r="B136" s="72">
        <v>46135</v>
      </c>
      <c r="C136" s="73">
        <v>4</v>
      </c>
      <c r="D136" s="74">
        <v>46128</v>
      </c>
      <c r="E136" s="69" t="s">
        <v>148</v>
      </c>
      <c r="F136" s="69" t="s">
        <v>147</v>
      </c>
    </row>
    <row r="137" spans="1:6" x14ac:dyDescent="0.35">
      <c r="A137" s="71">
        <v>5</v>
      </c>
      <c r="B137" s="72">
        <v>46136</v>
      </c>
      <c r="C137" s="73">
        <v>4</v>
      </c>
      <c r="D137" s="74">
        <v>46127</v>
      </c>
      <c r="E137" s="69" t="s">
        <v>148</v>
      </c>
      <c r="F137" s="69" t="s">
        <v>147</v>
      </c>
    </row>
    <row r="138" spans="1:6" x14ac:dyDescent="0.35">
      <c r="A138" s="71">
        <v>5</v>
      </c>
      <c r="B138" s="72">
        <v>46137</v>
      </c>
      <c r="C138" s="73">
        <v>4</v>
      </c>
      <c r="D138" s="74">
        <v>46126</v>
      </c>
      <c r="E138" s="69" t="s">
        <v>148</v>
      </c>
      <c r="F138" s="69" t="s">
        <v>147</v>
      </c>
    </row>
    <row r="139" spans="1:6" x14ac:dyDescent="0.35">
      <c r="A139" s="71">
        <v>5</v>
      </c>
      <c r="B139" s="72">
        <v>46138</v>
      </c>
      <c r="C139" s="73">
        <v>4</v>
      </c>
      <c r="D139" s="74">
        <v>46125</v>
      </c>
      <c r="E139" s="69" t="s">
        <v>148</v>
      </c>
      <c r="F139" s="69" t="s">
        <v>147</v>
      </c>
    </row>
    <row r="140" spans="1:6" x14ac:dyDescent="0.35">
      <c r="A140" s="71">
        <v>5</v>
      </c>
      <c r="B140" s="72">
        <v>46139</v>
      </c>
      <c r="C140" s="73">
        <v>4</v>
      </c>
      <c r="D140" s="74">
        <v>46124</v>
      </c>
      <c r="E140" s="69" t="s">
        <v>148</v>
      </c>
      <c r="F140" s="69" t="s">
        <v>147</v>
      </c>
    </row>
    <row r="141" spans="1:6" x14ac:dyDescent="0.35">
      <c r="A141" s="71">
        <v>5</v>
      </c>
      <c r="B141" s="72">
        <v>46140</v>
      </c>
      <c r="C141" s="73">
        <v>4</v>
      </c>
      <c r="D141" s="74">
        <v>46123</v>
      </c>
      <c r="E141" s="69" t="s">
        <v>148</v>
      </c>
      <c r="F141" s="69" t="s">
        <v>147</v>
      </c>
    </row>
    <row r="142" spans="1:6" x14ac:dyDescent="0.35">
      <c r="A142" s="71">
        <v>5</v>
      </c>
      <c r="B142" s="72">
        <v>46141</v>
      </c>
      <c r="C142" s="73">
        <v>4</v>
      </c>
      <c r="D142" s="74">
        <v>46122</v>
      </c>
      <c r="E142" s="69" t="s">
        <v>148</v>
      </c>
      <c r="F142" s="69" t="s">
        <v>147</v>
      </c>
    </row>
    <row r="143" spans="1:6" x14ac:dyDescent="0.35">
      <c r="A143" s="71">
        <v>5</v>
      </c>
      <c r="B143" s="72">
        <v>46142</v>
      </c>
      <c r="C143" s="73">
        <v>4</v>
      </c>
      <c r="D143" s="74">
        <v>46121</v>
      </c>
      <c r="E143" s="69" t="s">
        <v>148</v>
      </c>
      <c r="F143" s="69" t="s">
        <v>147</v>
      </c>
    </row>
    <row r="144" spans="1:6" x14ac:dyDescent="0.35">
      <c r="A144" s="71">
        <v>5</v>
      </c>
      <c r="B144" s="72">
        <v>46143</v>
      </c>
      <c r="C144" s="73">
        <v>4</v>
      </c>
      <c r="D144" s="74">
        <v>46120</v>
      </c>
      <c r="E144" s="69" t="s">
        <v>148</v>
      </c>
      <c r="F144" s="69" t="s">
        <v>147</v>
      </c>
    </row>
    <row r="145" spans="1:6" x14ac:dyDescent="0.35">
      <c r="A145" s="71">
        <v>5</v>
      </c>
      <c r="B145" s="72">
        <v>46144</v>
      </c>
      <c r="C145" s="73">
        <v>4</v>
      </c>
      <c r="D145" s="74">
        <v>46119</v>
      </c>
      <c r="E145" s="69" t="s">
        <v>148</v>
      </c>
      <c r="F145" s="69" t="s">
        <v>147</v>
      </c>
    </row>
    <row r="146" spans="1:6" x14ac:dyDescent="0.35">
      <c r="A146" s="71">
        <v>5</v>
      </c>
      <c r="B146" s="72">
        <v>46145</v>
      </c>
      <c r="C146" s="73">
        <v>4</v>
      </c>
      <c r="D146" s="74">
        <v>46118</v>
      </c>
      <c r="E146" s="69" t="s">
        <v>148</v>
      </c>
      <c r="F146" s="69" t="s">
        <v>147</v>
      </c>
    </row>
    <row r="147" spans="1:6" x14ac:dyDescent="0.35">
      <c r="A147" s="71">
        <v>5</v>
      </c>
      <c r="B147" s="72">
        <v>46146</v>
      </c>
      <c r="C147" s="73">
        <v>4</v>
      </c>
      <c r="D147" s="74">
        <v>46117</v>
      </c>
      <c r="E147" s="69" t="s">
        <v>148</v>
      </c>
      <c r="F147" s="69" t="s">
        <v>147</v>
      </c>
    </row>
    <row r="148" spans="1:6" x14ac:dyDescent="0.35">
      <c r="A148" s="71">
        <v>5</v>
      </c>
      <c r="B148" s="72">
        <v>46147</v>
      </c>
      <c r="C148" s="73">
        <v>4</v>
      </c>
      <c r="D148" s="74">
        <v>46116</v>
      </c>
      <c r="E148" s="69" t="s">
        <v>148</v>
      </c>
      <c r="F148" s="69" t="s">
        <v>147</v>
      </c>
    </row>
    <row r="149" spans="1:6" x14ac:dyDescent="0.35">
      <c r="A149" s="71">
        <v>5</v>
      </c>
      <c r="B149" s="72">
        <v>46148</v>
      </c>
      <c r="C149" s="73">
        <v>4</v>
      </c>
      <c r="D149" s="74">
        <v>46115</v>
      </c>
      <c r="E149" s="69" t="s">
        <v>148</v>
      </c>
      <c r="F149" s="69" t="s">
        <v>147</v>
      </c>
    </row>
    <row r="150" spans="1:6" x14ac:dyDescent="0.35">
      <c r="A150" s="71">
        <v>5</v>
      </c>
      <c r="B150" s="72">
        <v>46149</v>
      </c>
      <c r="C150" s="73">
        <v>4</v>
      </c>
      <c r="D150" s="74">
        <v>46114</v>
      </c>
      <c r="E150" s="69" t="s">
        <v>148</v>
      </c>
      <c r="F150" s="69" t="s">
        <v>147</v>
      </c>
    </row>
    <row r="151" spans="1:6" x14ac:dyDescent="0.35">
      <c r="A151" s="71">
        <v>5</v>
      </c>
      <c r="B151" s="72">
        <v>46150</v>
      </c>
      <c r="C151" s="73">
        <v>4</v>
      </c>
      <c r="D151" s="74">
        <v>46113</v>
      </c>
      <c r="E151" s="69" t="s">
        <v>148</v>
      </c>
      <c r="F151" s="69" t="s">
        <v>147</v>
      </c>
    </row>
    <row r="152" spans="1:6" x14ac:dyDescent="0.35">
      <c r="A152" s="71">
        <v>5</v>
      </c>
      <c r="B152" s="72">
        <v>46151</v>
      </c>
      <c r="C152" s="73">
        <v>4</v>
      </c>
      <c r="D152" s="74">
        <v>46112</v>
      </c>
      <c r="E152" s="69" t="s">
        <v>148</v>
      </c>
      <c r="F152" s="69" t="s">
        <v>147</v>
      </c>
    </row>
    <row r="153" spans="1:6" x14ac:dyDescent="0.35">
      <c r="A153" s="71">
        <v>5</v>
      </c>
      <c r="B153" s="72">
        <v>46152</v>
      </c>
      <c r="C153" s="73">
        <v>4</v>
      </c>
      <c r="D153" s="74">
        <v>46111</v>
      </c>
      <c r="E153" s="69" t="s">
        <v>148</v>
      </c>
      <c r="F153" s="69" t="s">
        <v>147</v>
      </c>
    </row>
    <row r="154" spans="1:6" x14ac:dyDescent="0.35">
      <c r="A154" s="71">
        <v>5</v>
      </c>
      <c r="B154" s="72">
        <v>46153</v>
      </c>
      <c r="C154" s="73">
        <v>4</v>
      </c>
      <c r="D154" s="74">
        <v>46110</v>
      </c>
      <c r="E154" s="69" t="s">
        <v>148</v>
      </c>
      <c r="F154" s="69" t="s">
        <v>147</v>
      </c>
    </row>
    <row r="155" spans="1:6" x14ac:dyDescent="0.35">
      <c r="A155" s="71">
        <v>5</v>
      </c>
      <c r="B155" s="72">
        <v>46154</v>
      </c>
      <c r="C155" s="73">
        <v>4</v>
      </c>
      <c r="D155" s="74">
        <v>46109</v>
      </c>
      <c r="E155" s="69" t="s">
        <v>148</v>
      </c>
      <c r="F155" s="69" t="s">
        <v>147</v>
      </c>
    </row>
    <row r="156" spans="1:6" x14ac:dyDescent="0.35">
      <c r="A156" s="71">
        <v>5</v>
      </c>
      <c r="B156" s="72">
        <v>46155</v>
      </c>
      <c r="C156" s="73">
        <v>4</v>
      </c>
      <c r="D156" s="74">
        <v>46108</v>
      </c>
      <c r="E156" s="69" t="s">
        <v>148</v>
      </c>
      <c r="F156" s="69" t="s">
        <v>147</v>
      </c>
    </row>
    <row r="157" spans="1:6" x14ac:dyDescent="0.35">
      <c r="A157" s="71">
        <v>5</v>
      </c>
      <c r="B157" s="72">
        <v>46156</v>
      </c>
      <c r="C157" s="73">
        <v>4</v>
      </c>
      <c r="D157" s="74">
        <v>46107</v>
      </c>
      <c r="E157" s="69" t="s">
        <v>148</v>
      </c>
      <c r="F157" s="69" t="s">
        <v>147</v>
      </c>
    </row>
    <row r="158" spans="1:6" x14ac:dyDescent="0.35">
      <c r="A158" s="71">
        <v>5</v>
      </c>
      <c r="B158" s="72">
        <v>46157</v>
      </c>
      <c r="C158" s="73">
        <v>4</v>
      </c>
      <c r="D158" s="74">
        <v>46106</v>
      </c>
      <c r="E158" s="69" t="s">
        <v>148</v>
      </c>
      <c r="F158" s="69" t="s">
        <v>147</v>
      </c>
    </row>
    <row r="159" spans="1:6" x14ac:dyDescent="0.35">
      <c r="A159" s="71">
        <v>5</v>
      </c>
      <c r="B159" s="72">
        <v>46158</v>
      </c>
      <c r="C159" s="73">
        <v>4</v>
      </c>
      <c r="D159" s="74">
        <v>46105</v>
      </c>
      <c r="E159" s="69" t="s">
        <v>148</v>
      </c>
      <c r="F159" s="69" t="s">
        <v>147</v>
      </c>
    </row>
    <row r="160" spans="1:6" x14ac:dyDescent="0.35">
      <c r="A160" s="71">
        <v>5</v>
      </c>
      <c r="B160" s="72">
        <v>46159</v>
      </c>
      <c r="C160" s="73">
        <v>4</v>
      </c>
      <c r="D160" s="74">
        <v>46104</v>
      </c>
      <c r="E160" s="69" t="s">
        <v>148</v>
      </c>
      <c r="F160" s="69" t="s">
        <v>147</v>
      </c>
    </row>
    <row r="161" spans="1:6" x14ac:dyDescent="0.35">
      <c r="A161" s="71">
        <v>6</v>
      </c>
      <c r="B161" s="72">
        <v>46160</v>
      </c>
      <c r="C161" s="73">
        <v>5</v>
      </c>
      <c r="D161" s="74">
        <v>46159</v>
      </c>
      <c r="E161" s="69" t="s">
        <v>149</v>
      </c>
      <c r="F161" s="69" t="s">
        <v>148</v>
      </c>
    </row>
    <row r="162" spans="1:6" x14ac:dyDescent="0.35">
      <c r="A162" s="71">
        <v>6</v>
      </c>
      <c r="B162" s="72">
        <v>46161</v>
      </c>
      <c r="C162" s="73">
        <v>5</v>
      </c>
      <c r="D162" s="74">
        <v>46158</v>
      </c>
      <c r="E162" s="69" t="s">
        <v>149</v>
      </c>
      <c r="F162" s="69" t="s">
        <v>148</v>
      </c>
    </row>
    <row r="163" spans="1:6" x14ac:dyDescent="0.35">
      <c r="A163" s="71">
        <v>6</v>
      </c>
      <c r="B163" s="72">
        <v>46162</v>
      </c>
      <c r="C163" s="73">
        <v>5</v>
      </c>
      <c r="D163" s="74">
        <v>46157</v>
      </c>
      <c r="E163" s="69" t="s">
        <v>149</v>
      </c>
      <c r="F163" s="69" t="s">
        <v>148</v>
      </c>
    </row>
    <row r="164" spans="1:6" x14ac:dyDescent="0.35">
      <c r="A164" s="71">
        <v>6</v>
      </c>
      <c r="B164" s="72">
        <v>46163</v>
      </c>
      <c r="C164" s="73">
        <v>5</v>
      </c>
      <c r="D164" s="74">
        <v>46156</v>
      </c>
      <c r="E164" s="69" t="s">
        <v>149</v>
      </c>
      <c r="F164" s="69" t="s">
        <v>148</v>
      </c>
    </row>
    <row r="165" spans="1:6" x14ac:dyDescent="0.35">
      <c r="A165" s="71">
        <v>6</v>
      </c>
      <c r="B165" s="72">
        <v>46164</v>
      </c>
      <c r="C165" s="73">
        <v>5</v>
      </c>
      <c r="D165" s="74">
        <v>46155</v>
      </c>
      <c r="E165" s="69" t="s">
        <v>149</v>
      </c>
      <c r="F165" s="69" t="s">
        <v>148</v>
      </c>
    </row>
    <row r="166" spans="1:6" x14ac:dyDescent="0.35">
      <c r="A166" s="71">
        <v>6</v>
      </c>
      <c r="B166" s="72">
        <v>46165</v>
      </c>
      <c r="C166" s="73">
        <v>5</v>
      </c>
      <c r="D166" s="74">
        <v>46154</v>
      </c>
      <c r="E166" s="69" t="s">
        <v>149</v>
      </c>
      <c r="F166" s="69" t="s">
        <v>148</v>
      </c>
    </row>
    <row r="167" spans="1:6" x14ac:dyDescent="0.35">
      <c r="A167" s="71">
        <v>6</v>
      </c>
      <c r="B167" s="72">
        <v>46166</v>
      </c>
      <c r="C167" s="73">
        <v>5</v>
      </c>
      <c r="D167" s="74">
        <v>46153</v>
      </c>
      <c r="E167" s="69" t="s">
        <v>149</v>
      </c>
      <c r="F167" s="69" t="s">
        <v>148</v>
      </c>
    </row>
    <row r="168" spans="1:6" x14ac:dyDescent="0.35">
      <c r="A168" s="71">
        <v>6</v>
      </c>
      <c r="B168" s="72">
        <v>46167</v>
      </c>
      <c r="C168" s="73">
        <v>5</v>
      </c>
      <c r="D168" s="74">
        <v>46152</v>
      </c>
      <c r="E168" s="69" t="s">
        <v>149</v>
      </c>
      <c r="F168" s="69" t="s">
        <v>148</v>
      </c>
    </row>
    <row r="169" spans="1:6" x14ac:dyDescent="0.35">
      <c r="A169" s="71">
        <v>6</v>
      </c>
      <c r="B169" s="72">
        <v>46168</v>
      </c>
      <c r="C169" s="73">
        <v>5</v>
      </c>
      <c r="D169" s="74">
        <v>46151</v>
      </c>
      <c r="E169" s="69" t="s">
        <v>149</v>
      </c>
      <c r="F169" s="69" t="s">
        <v>148</v>
      </c>
    </row>
    <row r="170" spans="1:6" x14ac:dyDescent="0.35">
      <c r="A170" s="71">
        <v>6</v>
      </c>
      <c r="B170" s="72">
        <v>46169</v>
      </c>
      <c r="C170" s="73">
        <v>5</v>
      </c>
      <c r="D170" s="74">
        <v>46150</v>
      </c>
      <c r="E170" s="69" t="s">
        <v>149</v>
      </c>
      <c r="F170" s="69" t="s">
        <v>148</v>
      </c>
    </row>
    <row r="171" spans="1:6" x14ac:dyDescent="0.35">
      <c r="A171" s="71">
        <v>6</v>
      </c>
      <c r="B171" s="72">
        <v>46170</v>
      </c>
      <c r="C171" s="73">
        <v>5</v>
      </c>
      <c r="D171" s="74">
        <v>46149</v>
      </c>
      <c r="E171" s="69" t="s">
        <v>149</v>
      </c>
      <c r="F171" s="69" t="s">
        <v>148</v>
      </c>
    </row>
    <row r="172" spans="1:6" x14ac:dyDescent="0.35">
      <c r="A172" s="71">
        <v>6</v>
      </c>
      <c r="B172" s="72">
        <v>46171</v>
      </c>
      <c r="C172" s="73">
        <v>5</v>
      </c>
      <c r="D172" s="74">
        <v>46148</v>
      </c>
      <c r="E172" s="69" t="s">
        <v>149</v>
      </c>
      <c r="F172" s="69" t="s">
        <v>148</v>
      </c>
    </row>
    <row r="173" spans="1:6" x14ac:dyDescent="0.35">
      <c r="A173" s="71">
        <v>6</v>
      </c>
      <c r="B173" s="72">
        <v>46172</v>
      </c>
      <c r="C173" s="73">
        <v>5</v>
      </c>
      <c r="D173" s="74">
        <v>46147</v>
      </c>
      <c r="E173" s="69" t="s">
        <v>149</v>
      </c>
      <c r="F173" s="69" t="s">
        <v>148</v>
      </c>
    </row>
    <row r="174" spans="1:6" x14ac:dyDescent="0.35">
      <c r="A174" s="71">
        <v>6</v>
      </c>
      <c r="B174" s="72">
        <v>46173</v>
      </c>
      <c r="C174" s="73">
        <v>5</v>
      </c>
      <c r="D174" s="74">
        <v>46146</v>
      </c>
      <c r="E174" s="69" t="s">
        <v>149</v>
      </c>
      <c r="F174" s="69" t="s">
        <v>148</v>
      </c>
    </row>
    <row r="175" spans="1:6" x14ac:dyDescent="0.35">
      <c r="A175" s="71">
        <v>6</v>
      </c>
      <c r="B175" s="72">
        <v>46174</v>
      </c>
      <c r="C175" s="73">
        <v>5</v>
      </c>
      <c r="D175" s="74">
        <v>46145</v>
      </c>
      <c r="E175" s="69" t="s">
        <v>149</v>
      </c>
      <c r="F175" s="69" t="s">
        <v>148</v>
      </c>
    </row>
    <row r="176" spans="1:6" x14ac:dyDescent="0.35">
      <c r="A176" s="71">
        <v>6</v>
      </c>
      <c r="B176" s="72">
        <v>46175</v>
      </c>
      <c r="C176" s="73">
        <v>5</v>
      </c>
      <c r="D176" s="74">
        <v>46144</v>
      </c>
      <c r="E176" s="69" t="s">
        <v>149</v>
      </c>
      <c r="F176" s="69" t="s">
        <v>148</v>
      </c>
    </row>
    <row r="177" spans="1:6" x14ac:dyDescent="0.35">
      <c r="A177" s="71">
        <v>6</v>
      </c>
      <c r="B177" s="72">
        <v>46176</v>
      </c>
      <c r="C177" s="73">
        <v>5</v>
      </c>
      <c r="D177" s="74">
        <v>46143</v>
      </c>
      <c r="E177" s="69" t="s">
        <v>149</v>
      </c>
      <c r="F177" s="69" t="s">
        <v>148</v>
      </c>
    </row>
    <row r="178" spans="1:6" x14ac:dyDescent="0.35">
      <c r="A178" s="71">
        <v>6</v>
      </c>
      <c r="B178" s="72">
        <v>46177</v>
      </c>
      <c r="C178" s="73">
        <v>5</v>
      </c>
      <c r="D178" s="74">
        <v>46142</v>
      </c>
      <c r="E178" s="69" t="s">
        <v>149</v>
      </c>
      <c r="F178" s="69" t="s">
        <v>148</v>
      </c>
    </row>
    <row r="179" spans="1:6" x14ac:dyDescent="0.35">
      <c r="A179" s="71">
        <v>6</v>
      </c>
      <c r="B179" s="72">
        <v>46178</v>
      </c>
      <c r="C179" s="73">
        <v>5</v>
      </c>
      <c r="D179" s="74">
        <v>46141</v>
      </c>
      <c r="E179" s="69" t="s">
        <v>149</v>
      </c>
      <c r="F179" s="69" t="s">
        <v>148</v>
      </c>
    </row>
    <row r="180" spans="1:6" x14ac:dyDescent="0.35">
      <c r="A180" s="71">
        <v>6</v>
      </c>
      <c r="B180" s="72">
        <v>46179</v>
      </c>
      <c r="C180" s="73">
        <v>5</v>
      </c>
      <c r="D180" s="74">
        <v>46140</v>
      </c>
      <c r="E180" s="69" t="s">
        <v>149</v>
      </c>
      <c r="F180" s="69" t="s">
        <v>148</v>
      </c>
    </row>
    <row r="181" spans="1:6" x14ac:dyDescent="0.35">
      <c r="A181" s="71">
        <v>6</v>
      </c>
      <c r="B181" s="72">
        <v>46180</v>
      </c>
      <c r="C181" s="73">
        <v>5</v>
      </c>
      <c r="D181" s="74">
        <v>46139</v>
      </c>
      <c r="E181" s="69" t="s">
        <v>149</v>
      </c>
      <c r="F181" s="69" t="s">
        <v>148</v>
      </c>
    </row>
    <row r="182" spans="1:6" x14ac:dyDescent="0.35">
      <c r="A182" s="71">
        <v>6</v>
      </c>
      <c r="B182" s="72">
        <v>46181</v>
      </c>
      <c r="C182" s="73">
        <v>5</v>
      </c>
      <c r="D182" s="74">
        <v>46138</v>
      </c>
      <c r="E182" s="69" t="s">
        <v>149</v>
      </c>
      <c r="F182" s="69" t="s">
        <v>148</v>
      </c>
    </row>
    <row r="183" spans="1:6" x14ac:dyDescent="0.35">
      <c r="A183" s="71">
        <v>6</v>
      </c>
      <c r="B183" s="72">
        <v>46182</v>
      </c>
      <c r="C183" s="73">
        <v>5</v>
      </c>
      <c r="D183" s="74">
        <v>46137</v>
      </c>
      <c r="E183" s="69" t="s">
        <v>149</v>
      </c>
      <c r="F183" s="69" t="s">
        <v>148</v>
      </c>
    </row>
    <row r="184" spans="1:6" x14ac:dyDescent="0.35">
      <c r="A184" s="71">
        <v>6</v>
      </c>
      <c r="B184" s="72">
        <v>46183</v>
      </c>
      <c r="C184" s="73">
        <v>5</v>
      </c>
      <c r="D184" s="74">
        <v>46136</v>
      </c>
      <c r="E184" s="69" t="s">
        <v>149</v>
      </c>
      <c r="F184" s="69" t="s">
        <v>148</v>
      </c>
    </row>
    <row r="185" spans="1:6" x14ac:dyDescent="0.35">
      <c r="A185" s="71">
        <v>6</v>
      </c>
      <c r="B185" s="72">
        <v>46184</v>
      </c>
      <c r="C185" s="73">
        <v>5</v>
      </c>
      <c r="D185" s="74">
        <v>46135</v>
      </c>
      <c r="E185" s="69" t="s">
        <v>149</v>
      </c>
      <c r="F185" s="69" t="s">
        <v>148</v>
      </c>
    </row>
    <row r="186" spans="1:6" x14ac:dyDescent="0.35">
      <c r="A186" s="71">
        <v>6</v>
      </c>
      <c r="B186" s="72">
        <v>46185</v>
      </c>
      <c r="C186" s="73">
        <v>5</v>
      </c>
      <c r="D186" s="74">
        <v>46134</v>
      </c>
      <c r="E186" s="69" t="s">
        <v>149</v>
      </c>
      <c r="F186" s="69" t="s">
        <v>148</v>
      </c>
    </row>
    <row r="187" spans="1:6" x14ac:dyDescent="0.35">
      <c r="A187" s="71">
        <v>6</v>
      </c>
      <c r="B187" s="72">
        <v>46186</v>
      </c>
      <c r="C187" s="73">
        <v>5</v>
      </c>
      <c r="D187" s="74">
        <v>46133</v>
      </c>
      <c r="E187" s="69" t="s">
        <v>149</v>
      </c>
      <c r="F187" s="69" t="s">
        <v>148</v>
      </c>
    </row>
    <row r="188" spans="1:6" x14ac:dyDescent="0.35">
      <c r="A188" s="71">
        <v>6</v>
      </c>
      <c r="B188" s="72">
        <v>46187</v>
      </c>
      <c r="C188" s="73">
        <v>5</v>
      </c>
      <c r="D188" s="74">
        <v>46132</v>
      </c>
      <c r="E188" s="69" t="s">
        <v>149</v>
      </c>
      <c r="F188" s="69" t="s">
        <v>148</v>
      </c>
    </row>
    <row r="189" spans="1:6" x14ac:dyDescent="0.35">
      <c r="A189" s="71">
        <v>7</v>
      </c>
      <c r="B189" s="72">
        <v>46188</v>
      </c>
      <c r="C189" s="73">
        <v>6</v>
      </c>
      <c r="D189" s="74">
        <v>46187</v>
      </c>
      <c r="E189" s="69" t="s">
        <v>150</v>
      </c>
      <c r="F189" s="69" t="s">
        <v>149</v>
      </c>
    </row>
    <row r="190" spans="1:6" x14ac:dyDescent="0.35">
      <c r="A190" s="71">
        <v>7</v>
      </c>
      <c r="B190" s="72">
        <v>46189</v>
      </c>
      <c r="C190" s="73">
        <v>6</v>
      </c>
      <c r="D190" s="74">
        <v>46186</v>
      </c>
      <c r="E190" s="69" t="s">
        <v>150</v>
      </c>
      <c r="F190" s="69" t="s">
        <v>149</v>
      </c>
    </row>
    <row r="191" spans="1:6" x14ac:dyDescent="0.35">
      <c r="A191" s="71">
        <v>7</v>
      </c>
      <c r="B191" s="72">
        <v>46190</v>
      </c>
      <c r="C191" s="73">
        <v>6</v>
      </c>
      <c r="D191" s="74">
        <v>46185</v>
      </c>
      <c r="E191" s="69" t="s">
        <v>150</v>
      </c>
      <c r="F191" s="69" t="s">
        <v>149</v>
      </c>
    </row>
    <row r="192" spans="1:6" x14ac:dyDescent="0.35">
      <c r="A192" s="71">
        <v>7</v>
      </c>
      <c r="B192" s="72">
        <v>46191</v>
      </c>
      <c r="C192" s="73">
        <v>6</v>
      </c>
      <c r="D192" s="74">
        <v>46184</v>
      </c>
      <c r="E192" s="69" t="s">
        <v>150</v>
      </c>
      <c r="F192" s="69" t="s">
        <v>149</v>
      </c>
    </row>
    <row r="193" spans="1:6" x14ac:dyDescent="0.35">
      <c r="A193" s="71">
        <v>7</v>
      </c>
      <c r="B193" s="72">
        <v>46192</v>
      </c>
      <c r="C193" s="73">
        <v>6</v>
      </c>
      <c r="D193" s="74">
        <v>46183</v>
      </c>
      <c r="E193" s="69" t="s">
        <v>150</v>
      </c>
      <c r="F193" s="69" t="s">
        <v>149</v>
      </c>
    </row>
    <row r="194" spans="1:6" x14ac:dyDescent="0.35">
      <c r="A194" s="71">
        <v>7</v>
      </c>
      <c r="B194" s="72">
        <v>46193</v>
      </c>
      <c r="C194" s="73">
        <v>6</v>
      </c>
      <c r="D194" s="74">
        <v>46182</v>
      </c>
      <c r="E194" s="69" t="s">
        <v>150</v>
      </c>
      <c r="F194" s="69" t="s">
        <v>149</v>
      </c>
    </row>
    <row r="195" spans="1:6" x14ac:dyDescent="0.35">
      <c r="A195" s="71">
        <v>7</v>
      </c>
      <c r="B195" s="72">
        <v>46194</v>
      </c>
      <c r="C195" s="73">
        <v>6</v>
      </c>
      <c r="D195" s="74">
        <v>46181</v>
      </c>
      <c r="E195" s="69" t="s">
        <v>150</v>
      </c>
      <c r="F195" s="69" t="s">
        <v>149</v>
      </c>
    </row>
    <row r="196" spans="1:6" x14ac:dyDescent="0.35">
      <c r="A196" s="71">
        <v>7</v>
      </c>
      <c r="B196" s="72">
        <v>46195</v>
      </c>
      <c r="C196" s="73">
        <v>6</v>
      </c>
      <c r="D196" s="74">
        <v>46180</v>
      </c>
      <c r="E196" s="69" t="s">
        <v>150</v>
      </c>
      <c r="F196" s="69" t="s">
        <v>149</v>
      </c>
    </row>
    <row r="197" spans="1:6" x14ac:dyDescent="0.35">
      <c r="A197" s="71">
        <v>7</v>
      </c>
      <c r="B197" s="72">
        <v>46196</v>
      </c>
      <c r="C197" s="73">
        <v>6</v>
      </c>
      <c r="D197" s="74">
        <v>46179</v>
      </c>
      <c r="E197" s="69" t="s">
        <v>150</v>
      </c>
      <c r="F197" s="69" t="s">
        <v>149</v>
      </c>
    </row>
    <row r="198" spans="1:6" x14ac:dyDescent="0.35">
      <c r="A198" s="71">
        <v>7</v>
      </c>
      <c r="B198" s="72">
        <v>46197</v>
      </c>
      <c r="C198" s="73">
        <v>6</v>
      </c>
      <c r="D198" s="74">
        <v>46178</v>
      </c>
      <c r="E198" s="69" t="s">
        <v>150</v>
      </c>
      <c r="F198" s="69" t="s">
        <v>149</v>
      </c>
    </row>
    <row r="199" spans="1:6" x14ac:dyDescent="0.35">
      <c r="A199" s="71">
        <v>7</v>
      </c>
      <c r="B199" s="72">
        <v>46198</v>
      </c>
      <c r="C199" s="73">
        <v>6</v>
      </c>
      <c r="D199" s="74">
        <v>46177</v>
      </c>
      <c r="E199" s="69" t="s">
        <v>150</v>
      </c>
      <c r="F199" s="69" t="s">
        <v>149</v>
      </c>
    </row>
    <row r="200" spans="1:6" x14ac:dyDescent="0.35">
      <c r="A200" s="71">
        <v>7</v>
      </c>
      <c r="B200" s="72">
        <v>46199</v>
      </c>
      <c r="C200" s="73">
        <v>6</v>
      </c>
      <c r="D200" s="74">
        <v>46176</v>
      </c>
      <c r="E200" s="69" t="s">
        <v>150</v>
      </c>
      <c r="F200" s="69" t="s">
        <v>149</v>
      </c>
    </row>
    <row r="201" spans="1:6" x14ac:dyDescent="0.35">
      <c r="A201" s="71">
        <v>7</v>
      </c>
      <c r="B201" s="72">
        <v>46200</v>
      </c>
      <c r="C201" s="73">
        <v>6</v>
      </c>
      <c r="D201" s="74">
        <v>46175</v>
      </c>
      <c r="E201" s="69" t="s">
        <v>150</v>
      </c>
      <c r="F201" s="69" t="s">
        <v>149</v>
      </c>
    </row>
    <row r="202" spans="1:6" x14ac:dyDescent="0.35">
      <c r="A202" s="71">
        <v>7</v>
      </c>
      <c r="B202" s="72">
        <v>46201</v>
      </c>
      <c r="C202" s="73">
        <v>6</v>
      </c>
      <c r="D202" s="74">
        <v>46174</v>
      </c>
      <c r="E202" s="69" t="s">
        <v>150</v>
      </c>
      <c r="F202" s="69" t="s">
        <v>149</v>
      </c>
    </row>
    <row r="203" spans="1:6" x14ac:dyDescent="0.35">
      <c r="A203" s="71">
        <v>7</v>
      </c>
      <c r="B203" s="72">
        <v>46202</v>
      </c>
      <c r="C203" s="73">
        <v>6</v>
      </c>
      <c r="D203" s="74">
        <v>46173</v>
      </c>
      <c r="E203" s="69" t="s">
        <v>150</v>
      </c>
      <c r="F203" s="69" t="s">
        <v>149</v>
      </c>
    </row>
    <row r="204" spans="1:6" x14ac:dyDescent="0.35">
      <c r="A204" s="71">
        <v>7</v>
      </c>
      <c r="B204" s="72">
        <v>46203</v>
      </c>
      <c r="C204" s="73">
        <v>6</v>
      </c>
      <c r="D204" s="74">
        <v>46172</v>
      </c>
      <c r="E204" s="69" t="s">
        <v>150</v>
      </c>
      <c r="F204" s="69" t="s">
        <v>149</v>
      </c>
    </row>
    <row r="205" spans="1:6" x14ac:dyDescent="0.35">
      <c r="A205" s="71">
        <v>7</v>
      </c>
      <c r="B205" s="72">
        <v>46204</v>
      </c>
      <c r="C205" s="73">
        <v>6</v>
      </c>
      <c r="D205" s="74">
        <v>46171</v>
      </c>
      <c r="E205" s="69" t="s">
        <v>150</v>
      </c>
      <c r="F205" s="69" t="s">
        <v>149</v>
      </c>
    </row>
    <row r="206" spans="1:6" x14ac:dyDescent="0.35">
      <c r="A206" s="71">
        <v>7</v>
      </c>
      <c r="B206" s="72">
        <v>46205</v>
      </c>
      <c r="C206" s="73">
        <v>6</v>
      </c>
      <c r="D206" s="74">
        <v>46170</v>
      </c>
      <c r="E206" s="69" t="s">
        <v>150</v>
      </c>
      <c r="F206" s="69" t="s">
        <v>149</v>
      </c>
    </row>
    <row r="207" spans="1:6" x14ac:dyDescent="0.35">
      <c r="A207" s="71">
        <v>7</v>
      </c>
      <c r="B207" s="72">
        <v>46206</v>
      </c>
      <c r="C207" s="73">
        <v>6</v>
      </c>
      <c r="D207" s="74">
        <v>46169</v>
      </c>
      <c r="E207" s="69" t="s">
        <v>150</v>
      </c>
      <c r="F207" s="69" t="s">
        <v>149</v>
      </c>
    </row>
    <row r="208" spans="1:6" x14ac:dyDescent="0.35">
      <c r="A208" s="71">
        <v>7</v>
      </c>
      <c r="B208" s="72">
        <v>46207</v>
      </c>
      <c r="C208" s="73">
        <v>6</v>
      </c>
      <c r="D208" s="74">
        <v>46168</v>
      </c>
      <c r="E208" s="69" t="s">
        <v>150</v>
      </c>
      <c r="F208" s="69" t="s">
        <v>149</v>
      </c>
    </row>
    <row r="209" spans="1:6" x14ac:dyDescent="0.35">
      <c r="A209" s="71">
        <v>7</v>
      </c>
      <c r="B209" s="72">
        <v>46208</v>
      </c>
      <c r="C209" s="73">
        <v>6</v>
      </c>
      <c r="D209" s="74">
        <v>46167</v>
      </c>
      <c r="E209" s="69" t="s">
        <v>150</v>
      </c>
      <c r="F209" s="69" t="s">
        <v>149</v>
      </c>
    </row>
    <row r="210" spans="1:6" x14ac:dyDescent="0.35">
      <c r="A210" s="71">
        <v>7</v>
      </c>
      <c r="B210" s="72">
        <v>46209</v>
      </c>
      <c r="C210" s="73">
        <v>6</v>
      </c>
      <c r="D210" s="74">
        <v>46166</v>
      </c>
      <c r="E210" s="69" t="s">
        <v>150</v>
      </c>
      <c r="F210" s="69" t="s">
        <v>149</v>
      </c>
    </row>
    <row r="211" spans="1:6" x14ac:dyDescent="0.35">
      <c r="A211" s="71">
        <v>7</v>
      </c>
      <c r="B211" s="72">
        <v>46210</v>
      </c>
      <c r="C211" s="73">
        <v>6</v>
      </c>
      <c r="D211" s="74">
        <v>46165</v>
      </c>
      <c r="E211" s="69" t="s">
        <v>150</v>
      </c>
      <c r="F211" s="69" t="s">
        <v>149</v>
      </c>
    </row>
    <row r="212" spans="1:6" x14ac:dyDescent="0.35">
      <c r="A212" s="71">
        <v>7</v>
      </c>
      <c r="B212" s="72">
        <v>46211</v>
      </c>
      <c r="C212" s="73">
        <v>6</v>
      </c>
      <c r="D212" s="74">
        <v>46164</v>
      </c>
      <c r="E212" s="69" t="s">
        <v>150</v>
      </c>
      <c r="F212" s="69" t="s">
        <v>149</v>
      </c>
    </row>
    <row r="213" spans="1:6" x14ac:dyDescent="0.35">
      <c r="A213" s="71">
        <v>7</v>
      </c>
      <c r="B213" s="72">
        <v>46212</v>
      </c>
      <c r="C213" s="73">
        <v>6</v>
      </c>
      <c r="D213" s="74">
        <v>46163</v>
      </c>
      <c r="E213" s="69" t="s">
        <v>150</v>
      </c>
      <c r="F213" s="69" t="s">
        <v>149</v>
      </c>
    </row>
    <row r="214" spans="1:6" x14ac:dyDescent="0.35">
      <c r="A214" s="71">
        <v>7</v>
      </c>
      <c r="B214" s="72">
        <v>46213</v>
      </c>
      <c r="C214" s="73">
        <v>6</v>
      </c>
      <c r="D214" s="74">
        <v>46162</v>
      </c>
      <c r="E214" s="69" t="s">
        <v>150</v>
      </c>
      <c r="F214" s="69" t="s">
        <v>149</v>
      </c>
    </row>
    <row r="215" spans="1:6" x14ac:dyDescent="0.35">
      <c r="A215" s="71">
        <v>7</v>
      </c>
      <c r="B215" s="72">
        <v>46214</v>
      </c>
      <c r="C215" s="73">
        <v>6</v>
      </c>
      <c r="D215" s="74">
        <v>46161</v>
      </c>
      <c r="E215" s="69" t="s">
        <v>150</v>
      </c>
      <c r="F215" s="69" t="s">
        <v>149</v>
      </c>
    </row>
    <row r="216" spans="1:6" x14ac:dyDescent="0.35">
      <c r="A216" s="71">
        <v>7</v>
      </c>
      <c r="B216" s="72">
        <v>46215</v>
      </c>
      <c r="C216" s="73">
        <v>6</v>
      </c>
      <c r="D216" s="74">
        <v>46160</v>
      </c>
      <c r="E216" s="69" t="s">
        <v>150</v>
      </c>
      <c r="F216" s="69" t="s">
        <v>149</v>
      </c>
    </row>
    <row r="217" spans="1:6" x14ac:dyDescent="0.35">
      <c r="A217" s="71">
        <v>8</v>
      </c>
      <c r="B217" s="72">
        <v>46216</v>
      </c>
      <c r="C217" s="73">
        <v>7</v>
      </c>
      <c r="D217" s="74">
        <v>46215</v>
      </c>
      <c r="E217" s="69" t="s">
        <v>151</v>
      </c>
      <c r="F217" s="69" t="s">
        <v>150</v>
      </c>
    </row>
    <row r="218" spans="1:6" x14ac:dyDescent="0.35">
      <c r="A218" s="71">
        <v>8</v>
      </c>
      <c r="B218" s="72">
        <v>46217</v>
      </c>
      <c r="C218" s="73">
        <v>7</v>
      </c>
      <c r="D218" s="74">
        <v>46214</v>
      </c>
      <c r="E218" s="69" t="s">
        <v>151</v>
      </c>
      <c r="F218" s="69" t="s">
        <v>150</v>
      </c>
    </row>
    <row r="219" spans="1:6" x14ac:dyDescent="0.35">
      <c r="A219" s="71">
        <v>8</v>
      </c>
      <c r="B219" s="72">
        <v>46218</v>
      </c>
      <c r="C219" s="73">
        <v>7</v>
      </c>
      <c r="D219" s="74">
        <v>46213</v>
      </c>
      <c r="E219" s="69" t="s">
        <v>151</v>
      </c>
      <c r="F219" s="69" t="s">
        <v>150</v>
      </c>
    </row>
    <row r="220" spans="1:6" x14ac:dyDescent="0.35">
      <c r="A220" s="71">
        <v>8</v>
      </c>
      <c r="B220" s="72">
        <v>46219</v>
      </c>
      <c r="C220" s="73">
        <v>7</v>
      </c>
      <c r="D220" s="74">
        <v>46212</v>
      </c>
      <c r="E220" s="69" t="s">
        <v>151</v>
      </c>
      <c r="F220" s="69" t="s">
        <v>150</v>
      </c>
    </row>
    <row r="221" spans="1:6" x14ac:dyDescent="0.35">
      <c r="A221" s="71">
        <v>8</v>
      </c>
      <c r="B221" s="72">
        <v>46220</v>
      </c>
      <c r="C221" s="73">
        <v>7</v>
      </c>
      <c r="D221" s="74">
        <v>46211</v>
      </c>
      <c r="E221" s="69" t="s">
        <v>151</v>
      </c>
      <c r="F221" s="69" t="s">
        <v>150</v>
      </c>
    </row>
    <row r="222" spans="1:6" x14ac:dyDescent="0.35">
      <c r="A222" s="71">
        <v>8</v>
      </c>
      <c r="B222" s="72">
        <v>46221</v>
      </c>
      <c r="C222" s="73">
        <v>7</v>
      </c>
      <c r="D222" s="74">
        <v>46210</v>
      </c>
      <c r="E222" s="69" t="s">
        <v>151</v>
      </c>
      <c r="F222" s="69" t="s">
        <v>150</v>
      </c>
    </row>
    <row r="223" spans="1:6" x14ac:dyDescent="0.35">
      <c r="A223" s="71">
        <v>8</v>
      </c>
      <c r="B223" s="72">
        <v>46222</v>
      </c>
      <c r="C223" s="73">
        <v>7</v>
      </c>
      <c r="D223" s="74">
        <v>46209</v>
      </c>
      <c r="E223" s="69" t="s">
        <v>151</v>
      </c>
      <c r="F223" s="69" t="s">
        <v>150</v>
      </c>
    </row>
    <row r="224" spans="1:6" x14ac:dyDescent="0.35">
      <c r="A224" s="71">
        <v>8</v>
      </c>
      <c r="B224" s="72">
        <v>46223</v>
      </c>
      <c r="C224" s="73">
        <v>7</v>
      </c>
      <c r="D224" s="74">
        <v>46208</v>
      </c>
      <c r="E224" s="69" t="s">
        <v>151</v>
      </c>
      <c r="F224" s="69" t="s">
        <v>150</v>
      </c>
    </row>
    <row r="225" spans="1:6" x14ac:dyDescent="0.35">
      <c r="A225" s="71">
        <v>8</v>
      </c>
      <c r="B225" s="72">
        <v>46224</v>
      </c>
      <c r="C225" s="73">
        <v>7</v>
      </c>
      <c r="D225" s="74">
        <v>46207</v>
      </c>
      <c r="E225" s="69" t="s">
        <v>151</v>
      </c>
      <c r="F225" s="69" t="s">
        <v>150</v>
      </c>
    </row>
    <row r="226" spans="1:6" x14ac:dyDescent="0.35">
      <c r="A226" s="71">
        <v>8</v>
      </c>
      <c r="B226" s="72">
        <v>46225</v>
      </c>
      <c r="C226" s="73">
        <v>7</v>
      </c>
      <c r="D226" s="74">
        <v>46206</v>
      </c>
      <c r="E226" s="69" t="s">
        <v>151</v>
      </c>
      <c r="F226" s="69" t="s">
        <v>150</v>
      </c>
    </row>
    <row r="227" spans="1:6" x14ac:dyDescent="0.35">
      <c r="A227" s="71">
        <v>8</v>
      </c>
      <c r="B227" s="72">
        <v>46226</v>
      </c>
      <c r="C227" s="73">
        <v>7</v>
      </c>
      <c r="D227" s="74">
        <v>46205</v>
      </c>
      <c r="E227" s="69" t="s">
        <v>151</v>
      </c>
      <c r="F227" s="69" t="s">
        <v>150</v>
      </c>
    </row>
    <row r="228" spans="1:6" x14ac:dyDescent="0.35">
      <c r="A228" s="71">
        <v>8</v>
      </c>
      <c r="B228" s="72">
        <v>46227</v>
      </c>
      <c r="C228" s="73">
        <v>7</v>
      </c>
      <c r="D228" s="74">
        <v>46204</v>
      </c>
      <c r="E228" s="69" t="s">
        <v>151</v>
      </c>
      <c r="F228" s="69" t="s">
        <v>150</v>
      </c>
    </row>
    <row r="229" spans="1:6" x14ac:dyDescent="0.35">
      <c r="A229" s="71">
        <v>8</v>
      </c>
      <c r="B229" s="72">
        <v>46228</v>
      </c>
      <c r="C229" s="73">
        <v>7</v>
      </c>
      <c r="D229" s="74">
        <v>46203</v>
      </c>
      <c r="E229" s="69" t="s">
        <v>151</v>
      </c>
      <c r="F229" s="69" t="s">
        <v>150</v>
      </c>
    </row>
    <row r="230" spans="1:6" x14ac:dyDescent="0.35">
      <c r="A230" s="71">
        <v>8</v>
      </c>
      <c r="B230" s="72">
        <v>46229</v>
      </c>
      <c r="C230" s="73">
        <v>7</v>
      </c>
      <c r="D230" s="74">
        <v>46202</v>
      </c>
      <c r="E230" s="69" t="s">
        <v>151</v>
      </c>
      <c r="F230" s="69" t="s">
        <v>150</v>
      </c>
    </row>
    <row r="231" spans="1:6" x14ac:dyDescent="0.35">
      <c r="A231" s="71">
        <v>8</v>
      </c>
      <c r="B231" s="72">
        <v>46230</v>
      </c>
      <c r="C231" s="73">
        <v>7</v>
      </c>
      <c r="D231" s="74">
        <v>46201</v>
      </c>
      <c r="E231" s="69" t="s">
        <v>151</v>
      </c>
      <c r="F231" s="69" t="s">
        <v>150</v>
      </c>
    </row>
    <row r="232" spans="1:6" x14ac:dyDescent="0.35">
      <c r="A232" s="71">
        <v>8</v>
      </c>
      <c r="B232" s="72">
        <v>46231</v>
      </c>
      <c r="C232" s="73">
        <v>7</v>
      </c>
      <c r="D232" s="74">
        <v>46200</v>
      </c>
      <c r="E232" s="69" t="s">
        <v>151</v>
      </c>
      <c r="F232" s="69" t="s">
        <v>150</v>
      </c>
    </row>
    <row r="233" spans="1:6" x14ac:dyDescent="0.35">
      <c r="A233" s="71">
        <v>8</v>
      </c>
      <c r="B233" s="72">
        <v>46232</v>
      </c>
      <c r="C233" s="73">
        <v>7</v>
      </c>
      <c r="D233" s="74">
        <v>46199</v>
      </c>
      <c r="E233" s="69" t="s">
        <v>151</v>
      </c>
      <c r="F233" s="69" t="s">
        <v>150</v>
      </c>
    </row>
    <row r="234" spans="1:6" x14ac:dyDescent="0.35">
      <c r="A234" s="71">
        <v>8</v>
      </c>
      <c r="B234" s="72">
        <v>46233</v>
      </c>
      <c r="C234" s="73">
        <v>7</v>
      </c>
      <c r="D234" s="74">
        <v>46198</v>
      </c>
      <c r="E234" s="69" t="s">
        <v>151</v>
      </c>
      <c r="F234" s="69" t="s">
        <v>150</v>
      </c>
    </row>
    <row r="235" spans="1:6" x14ac:dyDescent="0.35">
      <c r="A235" s="71">
        <v>8</v>
      </c>
      <c r="B235" s="72">
        <v>46234</v>
      </c>
      <c r="C235" s="73">
        <v>7</v>
      </c>
      <c r="D235" s="74">
        <v>46197</v>
      </c>
      <c r="E235" s="69" t="s">
        <v>151</v>
      </c>
      <c r="F235" s="69" t="s">
        <v>150</v>
      </c>
    </row>
    <row r="236" spans="1:6" x14ac:dyDescent="0.35">
      <c r="A236" s="71">
        <v>8</v>
      </c>
      <c r="B236" s="72">
        <v>46235</v>
      </c>
      <c r="C236" s="73">
        <v>7</v>
      </c>
      <c r="D236" s="74">
        <v>46196</v>
      </c>
      <c r="E236" s="69" t="s">
        <v>151</v>
      </c>
      <c r="F236" s="69" t="s">
        <v>150</v>
      </c>
    </row>
    <row r="237" spans="1:6" x14ac:dyDescent="0.35">
      <c r="A237" s="71">
        <v>8</v>
      </c>
      <c r="B237" s="72">
        <v>46236</v>
      </c>
      <c r="C237" s="73">
        <v>7</v>
      </c>
      <c r="D237" s="74">
        <v>46195</v>
      </c>
      <c r="E237" s="69" t="s">
        <v>151</v>
      </c>
      <c r="F237" s="69" t="s">
        <v>150</v>
      </c>
    </row>
    <row r="238" spans="1:6" x14ac:dyDescent="0.35">
      <c r="A238" s="71">
        <v>8</v>
      </c>
      <c r="B238" s="72">
        <v>46237</v>
      </c>
      <c r="C238" s="73">
        <v>7</v>
      </c>
      <c r="D238" s="74">
        <v>46194</v>
      </c>
      <c r="E238" s="69" t="s">
        <v>151</v>
      </c>
      <c r="F238" s="69" t="s">
        <v>150</v>
      </c>
    </row>
    <row r="239" spans="1:6" x14ac:dyDescent="0.35">
      <c r="A239" s="71">
        <v>8</v>
      </c>
      <c r="B239" s="72">
        <v>46238</v>
      </c>
      <c r="C239" s="73">
        <v>7</v>
      </c>
      <c r="D239" s="74">
        <v>46193</v>
      </c>
      <c r="E239" s="69" t="s">
        <v>151</v>
      </c>
      <c r="F239" s="69" t="s">
        <v>150</v>
      </c>
    </row>
    <row r="240" spans="1:6" x14ac:dyDescent="0.35">
      <c r="A240" s="71">
        <v>8</v>
      </c>
      <c r="B240" s="72">
        <v>46239</v>
      </c>
      <c r="C240" s="73">
        <v>7</v>
      </c>
      <c r="D240" s="74">
        <v>46192</v>
      </c>
      <c r="E240" s="69" t="s">
        <v>151</v>
      </c>
      <c r="F240" s="69" t="s">
        <v>150</v>
      </c>
    </row>
    <row r="241" spans="1:6" x14ac:dyDescent="0.35">
      <c r="A241" s="71">
        <v>8</v>
      </c>
      <c r="B241" s="72">
        <v>46240</v>
      </c>
      <c r="C241" s="73">
        <v>7</v>
      </c>
      <c r="D241" s="74">
        <v>46191</v>
      </c>
      <c r="E241" s="69" t="s">
        <v>151</v>
      </c>
      <c r="F241" s="69" t="s">
        <v>150</v>
      </c>
    </row>
    <row r="242" spans="1:6" x14ac:dyDescent="0.35">
      <c r="A242" s="71">
        <v>8</v>
      </c>
      <c r="B242" s="72">
        <v>46241</v>
      </c>
      <c r="C242" s="73">
        <v>7</v>
      </c>
      <c r="D242" s="74">
        <v>46190</v>
      </c>
      <c r="E242" s="69" t="s">
        <v>151</v>
      </c>
      <c r="F242" s="69" t="s">
        <v>150</v>
      </c>
    </row>
    <row r="243" spans="1:6" x14ac:dyDescent="0.35">
      <c r="A243" s="71">
        <v>8</v>
      </c>
      <c r="B243" s="72">
        <v>46242</v>
      </c>
      <c r="C243" s="73">
        <v>7</v>
      </c>
      <c r="D243" s="74">
        <v>46189</v>
      </c>
      <c r="E243" s="69" t="s">
        <v>151</v>
      </c>
      <c r="F243" s="69" t="s">
        <v>150</v>
      </c>
    </row>
    <row r="244" spans="1:6" x14ac:dyDescent="0.35">
      <c r="A244" s="71">
        <v>8</v>
      </c>
      <c r="B244" s="72">
        <v>46243</v>
      </c>
      <c r="C244" s="73">
        <v>7</v>
      </c>
      <c r="D244" s="74">
        <v>46188</v>
      </c>
      <c r="E244" s="69" t="s">
        <v>151</v>
      </c>
      <c r="F244" s="69" t="s">
        <v>150</v>
      </c>
    </row>
    <row r="245" spans="1:6" x14ac:dyDescent="0.35">
      <c r="A245" s="71">
        <v>9</v>
      </c>
      <c r="B245" s="72">
        <v>46244</v>
      </c>
      <c r="C245" s="73">
        <v>8</v>
      </c>
      <c r="D245" s="74">
        <v>46243</v>
      </c>
      <c r="E245" s="69" t="s">
        <v>152</v>
      </c>
      <c r="F245" s="69" t="s">
        <v>151</v>
      </c>
    </row>
    <row r="246" spans="1:6" x14ac:dyDescent="0.35">
      <c r="A246" s="71">
        <v>9</v>
      </c>
      <c r="B246" s="72">
        <v>46245</v>
      </c>
      <c r="C246" s="73">
        <v>8</v>
      </c>
      <c r="D246" s="74">
        <v>46242</v>
      </c>
      <c r="E246" s="69" t="s">
        <v>152</v>
      </c>
      <c r="F246" s="69" t="s">
        <v>151</v>
      </c>
    </row>
    <row r="247" spans="1:6" x14ac:dyDescent="0.35">
      <c r="A247" s="71">
        <v>9</v>
      </c>
      <c r="B247" s="72">
        <v>46246</v>
      </c>
      <c r="C247" s="73">
        <v>8</v>
      </c>
      <c r="D247" s="74">
        <v>46241</v>
      </c>
      <c r="E247" s="69" t="s">
        <v>152</v>
      </c>
      <c r="F247" s="69" t="s">
        <v>151</v>
      </c>
    </row>
    <row r="248" spans="1:6" x14ac:dyDescent="0.35">
      <c r="A248" s="71">
        <v>9</v>
      </c>
      <c r="B248" s="72">
        <v>46247</v>
      </c>
      <c r="C248" s="73">
        <v>8</v>
      </c>
      <c r="D248" s="74">
        <v>46240</v>
      </c>
      <c r="E248" s="69" t="s">
        <v>152</v>
      </c>
      <c r="F248" s="69" t="s">
        <v>151</v>
      </c>
    </row>
    <row r="249" spans="1:6" x14ac:dyDescent="0.35">
      <c r="A249" s="71">
        <v>9</v>
      </c>
      <c r="B249" s="72">
        <v>46248</v>
      </c>
      <c r="C249" s="73">
        <v>8</v>
      </c>
      <c r="D249" s="74">
        <v>46239</v>
      </c>
      <c r="E249" s="69" t="s">
        <v>152</v>
      </c>
      <c r="F249" s="69" t="s">
        <v>151</v>
      </c>
    </row>
    <row r="250" spans="1:6" x14ac:dyDescent="0.35">
      <c r="A250" s="71">
        <v>9</v>
      </c>
      <c r="B250" s="72">
        <v>46249</v>
      </c>
      <c r="C250" s="73">
        <v>8</v>
      </c>
      <c r="D250" s="74">
        <v>46238</v>
      </c>
      <c r="E250" s="69" t="s">
        <v>152</v>
      </c>
      <c r="F250" s="69" t="s">
        <v>151</v>
      </c>
    </row>
    <row r="251" spans="1:6" x14ac:dyDescent="0.35">
      <c r="A251" s="71">
        <v>9</v>
      </c>
      <c r="B251" s="72">
        <v>46250</v>
      </c>
      <c r="C251" s="73">
        <v>8</v>
      </c>
      <c r="D251" s="74">
        <v>46237</v>
      </c>
      <c r="E251" s="69" t="s">
        <v>152</v>
      </c>
      <c r="F251" s="69" t="s">
        <v>151</v>
      </c>
    </row>
    <row r="252" spans="1:6" x14ac:dyDescent="0.35">
      <c r="A252" s="71">
        <v>9</v>
      </c>
      <c r="B252" s="72">
        <v>46251</v>
      </c>
      <c r="C252" s="73">
        <v>8</v>
      </c>
      <c r="D252" s="74">
        <v>46236</v>
      </c>
      <c r="E252" s="69" t="s">
        <v>152</v>
      </c>
      <c r="F252" s="69" t="s">
        <v>151</v>
      </c>
    </row>
    <row r="253" spans="1:6" x14ac:dyDescent="0.35">
      <c r="A253" s="71">
        <v>9</v>
      </c>
      <c r="B253" s="72">
        <v>46252</v>
      </c>
      <c r="C253" s="73">
        <v>8</v>
      </c>
      <c r="D253" s="74">
        <v>46235</v>
      </c>
      <c r="E253" s="69" t="s">
        <v>152</v>
      </c>
      <c r="F253" s="69" t="s">
        <v>151</v>
      </c>
    </row>
    <row r="254" spans="1:6" x14ac:dyDescent="0.35">
      <c r="A254" s="71">
        <v>9</v>
      </c>
      <c r="B254" s="72">
        <v>46253</v>
      </c>
      <c r="C254" s="73">
        <v>8</v>
      </c>
      <c r="D254" s="74">
        <v>46234</v>
      </c>
      <c r="E254" s="69" t="s">
        <v>152</v>
      </c>
      <c r="F254" s="69" t="s">
        <v>151</v>
      </c>
    </row>
    <row r="255" spans="1:6" x14ac:dyDescent="0.35">
      <c r="A255" s="71">
        <v>9</v>
      </c>
      <c r="B255" s="72">
        <v>46254</v>
      </c>
      <c r="C255" s="73">
        <v>8</v>
      </c>
      <c r="D255" s="74">
        <v>46233</v>
      </c>
      <c r="E255" s="69" t="s">
        <v>152</v>
      </c>
      <c r="F255" s="69" t="s">
        <v>151</v>
      </c>
    </row>
    <row r="256" spans="1:6" x14ac:dyDescent="0.35">
      <c r="A256" s="71">
        <v>9</v>
      </c>
      <c r="B256" s="72">
        <v>46255</v>
      </c>
      <c r="C256" s="73">
        <v>8</v>
      </c>
      <c r="D256" s="74">
        <v>46232</v>
      </c>
      <c r="E256" s="69" t="s">
        <v>152</v>
      </c>
      <c r="F256" s="69" t="s">
        <v>151</v>
      </c>
    </row>
    <row r="257" spans="1:6" x14ac:dyDescent="0.35">
      <c r="A257" s="71">
        <v>9</v>
      </c>
      <c r="B257" s="72">
        <v>46256</v>
      </c>
      <c r="C257" s="73">
        <v>8</v>
      </c>
      <c r="D257" s="74">
        <v>46231</v>
      </c>
      <c r="E257" s="69" t="s">
        <v>152</v>
      </c>
      <c r="F257" s="69" t="s">
        <v>151</v>
      </c>
    </row>
    <row r="258" spans="1:6" x14ac:dyDescent="0.35">
      <c r="A258" s="71">
        <v>9</v>
      </c>
      <c r="B258" s="72">
        <v>46257</v>
      </c>
      <c r="C258" s="73">
        <v>8</v>
      </c>
      <c r="D258" s="74">
        <v>46230</v>
      </c>
      <c r="E258" s="69" t="s">
        <v>152</v>
      </c>
      <c r="F258" s="69" t="s">
        <v>151</v>
      </c>
    </row>
    <row r="259" spans="1:6" x14ac:dyDescent="0.35">
      <c r="A259" s="71">
        <v>9</v>
      </c>
      <c r="B259" s="72">
        <v>46258</v>
      </c>
      <c r="C259" s="73">
        <v>8</v>
      </c>
      <c r="D259" s="74">
        <v>46229</v>
      </c>
      <c r="E259" s="69" t="s">
        <v>152</v>
      </c>
      <c r="F259" s="69" t="s">
        <v>151</v>
      </c>
    </row>
    <row r="260" spans="1:6" x14ac:dyDescent="0.35">
      <c r="A260" s="71">
        <v>9</v>
      </c>
      <c r="B260" s="72">
        <v>46259</v>
      </c>
      <c r="C260" s="73">
        <v>8</v>
      </c>
      <c r="D260" s="74">
        <v>46228</v>
      </c>
      <c r="E260" s="69" t="s">
        <v>152</v>
      </c>
      <c r="F260" s="69" t="s">
        <v>151</v>
      </c>
    </row>
    <row r="261" spans="1:6" x14ac:dyDescent="0.35">
      <c r="A261" s="71">
        <v>9</v>
      </c>
      <c r="B261" s="72">
        <v>46260</v>
      </c>
      <c r="C261" s="73">
        <v>8</v>
      </c>
      <c r="D261" s="74">
        <v>46227</v>
      </c>
      <c r="E261" s="69" t="s">
        <v>152</v>
      </c>
      <c r="F261" s="69" t="s">
        <v>151</v>
      </c>
    </row>
    <row r="262" spans="1:6" x14ac:dyDescent="0.35">
      <c r="A262" s="71">
        <v>9</v>
      </c>
      <c r="B262" s="72">
        <v>46261</v>
      </c>
      <c r="C262" s="73">
        <v>8</v>
      </c>
      <c r="D262" s="74">
        <v>46226</v>
      </c>
      <c r="E262" s="69" t="s">
        <v>152</v>
      </c>
      <c r="F262" s="69" t="s">
        <v>151</v>
      </c>
    </row>
    <row r="263" spans="1:6" x14ac:dyDescent="0.35">
      <c r="A263" s="71">
        <v>9</v>
      </c>
      <c r="B263" s="72">
        <v>46262</v>
      </c>
      <c r="C263" s="73">
        <v>8</v>
      </c>
      <c r="D263" s="74">
        <v>46225</v>
      </c>
      <c r="E263" s="69" t="s">
        <v>152</v>
      </c>
      <c r="F263" s="69" t="s">
        <v>151</v>
      </c>
    </row>
    <row r="264" spans="1:6" x14ac:dyDescent="0.35">
      <c r="A264" s="71">
        <v>9</v>
      </c>
      <c r="B264" s="72">
        <v>46263</v>
      </c>
      <c r="C264" s="73">
        <v>8</v>
      </c>
      <c r="D264" s="74">
        <v>46224</v>
      </c>
      <c r="E264" s="69" t="s">
        <v>152</v>
      </c>
      <c r="F264" s="69" t="s">
        <v>151</v>
      </c>
    </row>
    <row r="265" spans="1:6" x14ac:dyDescent="0.35">
      <c r="A265" s="71">
        <v>9</v>
      </c>
      <c r="B265" s="72">
        <v>46264</v>
      </c>
      <c r="C265" s="73">
        <v>8</v>
      </c>
      <c r="D265" s="74">
        <v>46223</v>
      </c>
      <c r="E265" s="69" t="s">
        <v>152</v>
      </c>
      <c r="F265" s="69" t="s">
        <v>151</v>
      </c>
    </row>
    <row r="266" spans="1:6" x14ac:dyDescent="0.35">
      <c r="A266" s="71">
        <v>9</v>
      </c>
      <c r="B266" s="72">
        <v>46265</v>
      </c>
      <c r="C266" s="73">
        <v>8</v>
      </c>
      <c r="D266" s="74">
        <v>46222</v>
      </c>
      <c r="E266" s="69" t="s">
        <v>152</v>
      </c>
      <c r="F266" s="69" t="s">
        <v>151</v>
      </c>
    </row>
    <row r="267" spans="1:6" x14ac:dyDescent="0.35">
      <c r="A267" s="71">
        <v>9</v>
      </c>
      <c r="B267" s="72">
        <v>46266</v>
      </c>
      <c r="C267" s="73">
        <v>8</v>
      </c>
      <c r="D267" s="74">
        <v>46221</v>
      </c>
      <c r="E267" s="69" t="s">
        <v>152</v>
      </c>
      <c r="F267" s="69" t="s">
        <v>151</v>
      </c>
    </row>
    <row r="268" spans="1:6" x14ac:dyDescent="0.35">
      <c r="A268" s="71">
        <v>9</v>
      </c>
      <c r="B268" s="72">
        <v>46267</v>
      </c>
      <c r="C268" s="73">
        <v>8</v>
      </c>
      <c r="D268" s="74">
        <v>46220</v>
      </c>
      <c r="E268" s="69" t="s">
        <v>152</v>
      </c>
      <c r="F268" s="69" t="s">
        <v>151</v>
      </c>
    </row>
    <row r="269" spans="1:6" x14ac:dyDescent="0.35">
      <c r="A269" s="71">
        <v>9</v>
      </c>
      <c r="B269" s="72">
        <v>46268</v>
      </c>
      <c r="C269" s="73">
        <v>8</v>
      </c>
      <c r="D269" s="74">
        <v>46219</v>
      </c>
      <c r="E269" s="69" t="s">
        <v>152</v>
      </c>
      <c r="F269" s="69" t="s">
        <v>151</v>
      </c>
    </row>
    <row r="270" spans="1:6" x14ac:dyDescent="0.35">
      <c r="A270" s="71">
        <v>9</v>
      </c>
      <c r="B270" s="72">
        <v>46269</v>
      </c>
      <c r="C270" s="73">
        <v>8</v>
      </c>
      <c r="D270" s="74">
        <v>46218</v>
      </c>
      <c r="E270" s="69" t="s">
        <v>152</v>
      </c>
      <c r="F270" s="69" t="s">
        <v>151</v>
      </c>
    </row>
    <row r="271" spans="1:6" x14ac:dyDescent="0.35">
      <c r="A271" s="71">
        <v>9</v>
      </c>
      <c r="B271" s="72">
        <v>46270</v>
      </c>
      <c r="C271" s="73">
        <v>8</v>
      </c>
      <c r="D271" s="74">
        <v>46217</v>
      </c>
      <c r="E271" s="69" t="s">
        <v>152</v>
      </c>
      <c r="F271" s="69" t="s">
        <v>151</v>
      </c>
    </row>
    <row r="272" spans="1:6" x14ac:dyDescent="0.35">
      <c r="A272" s="71">
        <v>9</v>
      </c>
      <c r="B272" s="72">
        <v>46271</v>
      </c>
      <c r="C272" s="73">
        <v>8</v>
      </c>
      <c r="D272" s="74">
        <v>46216</v>
      </c>
      <c r="E272" s="69" t="s">
        <v>152</v>
      </c>
      <c r="F272" s="69" t="s">
        <v>151</v>
      </c>
    </row>
    <row r="273" spans="1:6" x14ac:dyDescent="0.35">
      <c r="A273" s="71">
        <v>10</v>
      </c>
      <c r="B273" s="72">
        <v>46272</v>
      </c>
      <c r="C273" s="73">
        <v>9</v>
      </c>
      <c r="D273" s="74">
        <v>46271</v>
      </c>
      <c r="E273" s="69" t="s">
        <v>153</v>
      </c>
      <c r="F273" s="69" t="s">
        <v>152</v>
      </c>
    </row>
    <row r="274" spans="1:6" x14ac:dyDescent="0.35">
      <c r="A274" s="71">
        <v>10</v>
      </c>
      <c r="B274" s="72">
        <v>46273</v>
      </c>
      <c r="C274" s="73">
        <v>9</v>
      </c>
      <c r="D274" s="74">
        <v>46270</v>
      </c>
      <c r="E274" s="69" t="s">
        <v>153</v>
      </c>
      <c r="F274" s="69" t="s">
        <v>152</v>
      </c>
    </row>
    <row r="275" spans="1:6" x14ac:dyDescent="0.35">
      <c r="A275" s="71">
        <v>10</v>
      </c>
      <c r="B275" s="72">
        <v>46274</v>
      </c>
      <c r="C275" s="73">
        <v>9</v>
      </c>
      <c r="D275" s="74">
        <v>46269</v>
      </c>
      <c r="E275" s="69" t="s">
        <v>153</v>
      </c>
      <c r="F275" s="69" t="s">
        <v>152</v>
      </c>
    </row>
    <row r="276" spans="1:6" x14ac:dyDescent="0.35">
      <c r="A276" s="71">
        <v>10</v>
      </c>
      <c r="B276" s="72">
        <v>46275</v>
      </c>
      <c r="C276" s="73">
        <v>9</v>
      </c>
      <c r="D276" s="74">
        <v>46268</v>
      </c>
      <c r="E276" s="69" t="s">
        <v>153</v>
      </c>
      <c r="F276" s="69" t="s">
        <v>152</v>
      </c>
    </row>
    <row r="277" spans="1:6" x14ac:dyDescent="0.35">
      <c r="A277" s="71">
        <v>10</v>
      </c>
      <c r="B277" s="72">
        <v>46276</v>
      </c>
      <c r="C277" s="73">
        <v>9</v>
      </c>
      <c r="D277" s="74">
        <v>46267</v>
      </c>
      <c r="E277" s="69" t="s">
        <v>153</v>
      </c>
      <c r="F277" s="69" t="s">
        <v>152</v>
      </c>
    </row>
    <row r="278" spans="1:6" x14ac:dyDescent="0.35">
      <c r="A278" s="71">
        <v>10</v>
      </c>
      <c r="B278" s="72">
        <v>46277</v>
      </c>
      <c r="C278" s="73">
        <v>9</v>
      </c>
      <c r="D278" s="74">
        <v>46266</v>
      </c>
      <c r="E278" s="69" t="s">
        <v>153</v>
      </c>
      <c r="F278" s="69" t="s">
        <v>152</v>
      </c>
    </row>
    <row r="279" spans="1:6" x14ac:dyDescent="0.35">
      <c r="A279" s="71">
        <v>10</v>
      </c>
      <c r="B279" s="72">
        <v>46278</v>
      </c>
      <c r="C279" s="73">
        <v>9</v>
      </c>
      <c r="D279" s="74">
        <v>46265</v>
      </c>
      <c r="E279" s="69" t="s">
        <v>153</v>
      </c>
      <c r="F279" s="69" t="s">
        <v>152</v>
      </c>
    </row>
    <row r="280" spans="1:6" x14ac:dyDescent="0.35">
      <c r="A280" s="71">
        <v>10</v>
      </c>
      <c r="B280" s="72">
        <v>46279</v>
      </c>
      <c r="C280" s="73">
        <v>9</v>
      </c>
      <c r="D280" s="74">
        <v>46264</v>
      </c>
      <c r="E280" s="69" t="s">
        <v>153</v>
      </c>
      <c r="F280" s="69" t="s">
        <v>152</v>
      </c>
    </row>
    <row r="281" spans="1:6" x14ac:dyDescent="0.35">
      <c r="A281" s="71">
        <v>10</v>
      </c>
      <c r="B281" s="72">
        <v>46280</v>
      </c>
      <c r="C281" s="73">
        <v>9</v>
      </c>
      <c r="D281" s="74">
        <v>46263</v>
      </c>
      <c r="E281" s="69" t="s">
        <v>153</v>
      </c>
      <c r="F281" s="69" t="s">
        <v>152</v>
      </c>
    </row>
    <row r="282" spans="1:6" x14ac:dyDescent="0.35">
      <c r="A282" s="71">
        <v>10</v>
      </c>
      <c r="B282" s="72">
        <v>46281</v>
      </c>
      <c r="C282" s="73">
        <v>9</v>
      </c>
      <c r="D282" s="74">
        <v>46262</v>
      </c>
      <c r="E282" s="69" t="s">
        <v>153</v>
      </c>
      <c r="F282" s="69" t="s">
        <v>152</v>
      </c>
    </row>
    <row r="283" spans="1:6" x14ac:dyDescent="0.35">
      <c r="A283" s="71">
        <v>10</v>
      </c>
      <c r="B283" s="72">
        <v>46282</v>
      </c>
      <c r="C283" s="73">
        <v>9</v>
      </c>
      <c r="D283" s="74">
        <v>46261</v>
      </c>
      <c r="E283" s="69" t="s">
        <v>153</v>
      </c>
      <c r="F283" s="69" t="s">
        <v>152</v>
      </c>
    </row>
    <row r="284" spans="1:6" x14ac:dyDescent="0.35">
      <c r="A284" s="71">
        <v>10</v>
      </c>
      <c r="B284" s="72">
        <v>46283</v>
      </c>
      <c r="C284" s="73">
        <v>9</v>
      </c>
      <c r="D284" s="74">
        <v>46260</v>
      </c>
      <c r="E284" s="69" t="s">
        <v>153</v>
      </c>
      <c r="F284" s="69" t="s">
        <v>152</v>
      </c>
    </row>
    <row r="285" spans="1:6" x14ac:dyDescent="0.35">
      <c r="A285" s="71">
        <v>10</v>
      </c>
      <c r="B285" s="72">
        <v>46284</v>
      </c>
      <c r="C285" s="73">
        <v>9</v>
      </c>
      <c r="D285" s="74">
        <v>46259</v>
      </c>
      <c r="E285" s="69" t="s">
        <v>153</v>
      </c>
      <c r="F285" s="69" t="s">
        <v>152</v>
      </c>
    </row>
    <row r="286" spans="1:6" x14ac:dyDescent="0.35">
      <c r="A286" s="71">
        <v>10</v>
      </c>
      <c r="B286" s="72">
        <v>46285</v>
      </c>
      <c r="C286" s="73">
        <v>9</v>
      </c>
      <c r="D286" s="74">
        <v>46258</v>
      </c>
      <c r="E286" s="69" t="s">
        <v>153</v>
      </c>
      <c r="F286" s="69" t="s">
        <v>152</v>
      </c>
    </row>
    <row r="287" spans="1:6" x14ac:dyDescent="0.35">
      <c r="A287" s="71">
        <v>10</v>
      </c>
      <c r="B287" s="72">
        <v>46286</v>
      </c>
      <c r="C287" s="73">
        <v>9</v>
      </c>
      <c r="D287" s="74">
        <v>46257</v>
      </c>
      <c r="E287" s="69" t="s">
        <v>153</v>
      </c>
      <c r="F287" s="69" t="s">
        <v>152</v>
      </c>
    </row>
    <row r="288" spans="1:6" x14ac:dyDescent="0.35">
      <c r="A288" s="71">
        <v>10</v>
      </c>
      <c r="B288" s="72">
        <v>46287</v>
      </c>
      <c r="C288" s="73">
        <v>9</v>
      </c>
      <c r="D288" s="74">
        <v>46256</v>
      </c>
      <c r="E288" s="69" t="s">
        <v>153</v>
      </c>
      <c r="F288" s="69" t="s">
        <v>152</v>
      </c>
    </row>
    <row r="289" spans="1:6" x14ac:dyDescent="0.35">
      <c r="A289" s="71">
        <v>10</v>
      </c>
      <c r="B289" s="72">
        <v>46288</v>
      </c>
      <c r="C289" s="73">
        <v>9</v>
      </c>
      <c r="D289" s="74">
        <v>46255</v>
      </c>
      <c r="E289" s="69" t="s">
        <v>153</v>
      </c>
      <c r="F289" s="69" t="s">
        <v>152</v>
      </c>
    </row>
    <row r="290" spans="1:6" x14ac:dyDescent="0.35">
      <c r="A290" s="71">
        <v>10</v>
      </c>
      <c r="B290" s="72">
        <v>46289</v>
      </c>
      <c r="C290" s="73">
        <v>9</v>
      </c>
      <c r="D290" s="74">
        <v>46254</v>
      </c>
      <c r="E290" s="69" t="s">
        <v>153</v>
      </c>
      <c r="F290" s="69" t="s">
        <v>152</v>
      </c>
    </row>
    <row r="291" spans="1:6" x14ac:dyDescent="0.35">
      <c r="A291" s="71">
        <v>10</v>
      </c>
      <c r="B291" s="72">
        <v>46290</v>
      </c>
      <c r="C291" s="73">
        <v>9</v>
      </c>
      <c r="D291" s="74">
        <v>46253</v>
      </c>
      <c r="E291" s="69" t="s">
        <v>153</v>
      </c>
      <c r="F291" s="69" t="s">
        <v>152</v>
      </c>
    </row>
    <row r="292" spans="1:6" x14ac:dyDescent="0.35">
      <c r="A292" s="71">
        <v>10</v>
      </c>
      <c r="B292" s="72">
        <v>46291</v>
      </c>
      <c r="C292" s="73">
        <v>9</v>
      </c>
      <c r="D292" s="74">
        <v>46252</v>
      </c>
      <c r="E292" s="69" t="s">
        <v>153</v>
      </c>
      <c r="F292" s="69" t="s">
        <v>152</v>
      </c>
    </row>
    <row r="293" spans="1:6" x14ac:dyDescent="0.35">
      <c r="A293" s="71">
        <v>10</v>
      </c>
      <c r="B293" s="72">
        <v>46292</v>
      </c>
      <c r="C293" s="73">
        <v>9</v>
      </c>
      <c r="D293" s="74">
        <v>46251</v>
      </c>
      <c r="E293" s="69" t="s">
        <v>153</v>
      </c>
      <c r="F293" s="69" t="s">
        <v>152</v>
      </c>
    </row>
    <row r="294" spans="1:6" x14ac:dyDescent="0.35">
      <c r="A294" s="71">
        <v>10</v>
      </c>
      <c r="B294" s="72">
        <v>46293</v>
      </c>
      <c r="C294" s="73">
        <v>9</v>
      </c>
      <c r="D294" s="74">
        <v>46250</v>
      </c>
      <c r="E294" s="69" t="s">
        <v>153</v>
      </c>
      <c r="F294" s="69" t="s">
        <v>152</v>
      </c>
    </row>
    <row r="295" spans="1:6" x14ac:dyDescent="0.35">
      <c r="A295" s="71">
        <v>10</v>
      </c>
      <c r="B295" s="72">
        <v>46294</v>
      </c>
      <c r="C295" s="73">
        <v>9</v>
      </c>
      <c r="D295" s="74">
        <v>46249</v>
      </c>
      <c r="E295" s="69" t="s">
        <v>153</v>
      </c>
      <c r="F295" s="69" t="s">
        <v>152</v>
      </c>
    </row>
    <row r="296" spans="1:6" x14ac:dyDescent="0.35">
      <c r="A296" s="71">
        <v>10</v>
      </c>
      <c r="B296" s="72">
        <v>46295</v>
      </c>
      <c r="C296" s="73">
        <v>9</v>
      </c>
      <c r="D296" s="74">
        <v>46248</v>
      </c>
      <c r="E296" s="69" t="s">
        <v>153</v>
      </c>
      <c r="F296" s="69" t="s">
        <v>152</v>
      </c>
    </row>
    <row r="297" spans="1:6" x14ac:dyDescent="0.35">
      <c r="A297" s="71">
        <v>10</v>
      </c>
      <c r="B297" s="72">
        <v>46296</v>
      </c>
      <c r="C297" s="73">
        <v>9</v>
      </c>
      <c r="D297" s="74">
        <v>46247</v>
      </c>
      <c r="E297" s="69" t="s">
        <v>153</v>
      </c>
      <c r="F297" s="69" t="s">
        <v>152</v>
      </c>
    </row>
    <row r="298" spans="1:6" x14ac:dyDescent="0.35">
      <c r="A298" s="71">
        <v>10</v>
      </c>
      <c r="B298" s="72">
        <v>46297</v>
      </c>
      <c r="C298" s="73">
        <v>9</v>
      </c>
      <c r="D298" s="74">
        <v>46246</v>
      </c>
      <c r="E298" s="69" t="s">
        <v>153</v>
      </c>
      <c r="F298" s="69" t="s">
        <v>152</v>
      </c>
    </row>
    <row r="299" spans="1:6" x14ac:dyDescent="0.35">
      <c r="A299" s="71">
        <v>10</v>
      </c>
      <c r="B299" s="72">
        <v>46298</v>
      </c>
      <c r="C299" s="73">
        <v>9</v>
      </c>
      <c r="D299" s="74">
        <v>46245</v>
      </c>
      <c r="E299" s="69" t="s">
        <v>153</v>
      </c>
      <c r="F299" s="69" t="s">
        <v>152</v>
      </c>
    </row>
    <row r="300" spans="1:6" x14ac:dyDescent="0.35">
      <c r="A300" s="71">
        <v>10</v>
      </c>
      <c r="B300" s="72">
        <v>46299</v>
      </c>
      <c r="C300" s="73">
        <v>9</v>
      </c>
      <c r="D300" s="74">
        <v>46244</v>
      </c>
      <c r="E300" s="69" t="s">
        <v>153</v>
      </c>
      <c r="F300" s="69" t="s">
        <v>152</v>
      </c>
    </row>
    <row r="301" spans="1:6" x14ac:dyDescent="0.35">
      <c r="A301" s="71">
        <v>11</v>
      </c>
      <c r="B301" s="72">
        <v>46300</v>
      </c>
      <c r="C301" s="73">
        <v>10</v>
      </c>
      <c r="D301" s="74">
        <v>46299</v>
      </c>
      <c r="E301" s="69" t="s">
        <v>154</v>
      </c>
      <c r="F301" s="69" t="s">
        <v>153</v>
      </c>
    </row>
    <row r="302" spans="1:6" x14ac:dyDescent="0.35">
      <c r="A302" s="71">
        <v>11</v>
      </c>
      <c r="B302" s="72">
        <v>46301</v>
      </c>
      <c r="C302" s="73">
        <v>10</v>
      </c>
      <c r="D302" s="74">
        <v>46298</v>
      </c>
      <c r="E302" s="69" t="s">
        <v>154</v>
      </c>
      <c r="F302" s="69" t="s">
        <v>153</v>
      </c>
    </row>
    <row r="303" spans="1:6" x14ac:dyDescent="0.35">
      <c r="A303" s="71">
        <v>11</v>
      </c>
      <c r="B303" s="72">
        <v>46302</v>
      </c>
      <c r="C303" s="73">
        <v>10</v>
      </c>
      <c r="D303" s="74">
        <v>46297</v>
      </c>
      <c r="E303" s="69" t="s">
        <v>154</v>
      </c>
      <c r="F303" s="69" t="s">
        <v>153</v>
      </c>
    </row>
    <row r="304" spans="1:6" x14ac:dyDescent="0.35">
      <c r="A304" s="71">
        <v>11</v>
      </c>
      <c r="B304" s="72">
        <v>46303</v>
      </c>
      <c r="C304" s="73">
        <v>10</v>
      </c>
      <c r="D304" s="74">
        <v>46296</v>
      </c>
      <c r="E304" s="69" t="s">
        <v>154</v>
      </c>
      <c r="F304" s="69" t="s">
        <v>153</v>
      </c>
    </row>
    <row r="305" spans="1:6" x14ac:dyDescent="0.35">
      <c r="A305" s="71">
        <v>11</v>
      </c>
      <c r="B305" s="72">
        <v>46304</v>
      </c>
      <c r="C305" s="73">
        <v>10</v>
      </c>
      <c r="D305" s="74">
        <v>46295</v>
      </c>
      <c r="E305" s="69" t="s">
        <v>154</v>
      </c>
      <c r="F305" s="69" t="s">
        <v>153</v>
      </c>
    </row>
    <row r="306" spans="1:6" x14ac:dyDescent="0.35">
      <c r="A306" s="71">
        <v>11</v>
      </c>
      <c r="B306" s="72">
        <v>46305</v>
      </c>
      <c r="C306" s="73">
        <v>10</v>
      </c>
      <c r="D306" s="74">
        <v>46294</v>
      </c>
      <c r="E306" s="69" t="s">
        <v>154</v>
      </c>
      <c r="F306" s="69" t="s">
        <v>153</v>
      </c>
    </row>
    <row r="307" spans="1:6" x14ac:dyDescent="0.35">
      <c r="A307" s="71">
        <v>11</v>
      </c>
      <c r="B307" s="72">
        <v>46306</v>
      </c>
      <c r="C307" s="73">
        <v>10</v>
      </c>
      <c r="D307" s="74">
        <v>46293</v>
      </c>
      <c r="E307" s="69" t="s">
        <v>154</v>
      </c>
      <c r="F307" s="69" t="s">
        <v>153</v>
      </c>
    </row>
    <row r="308" spans="1:6" x14ac:dyDescent="0.35">
      <c r="A308" s="71">
        <v>11</v>
      </c>
      <c r="B308" s="72">
        <v>46307</v>
      </c>
      <c r="C308" s="73">
        <v>10</v>
      </c>
      <c r="D308" s="74">
        <v>46292</v>
      </c>
      <c r="E308" s="69" t="s">
        <v>154</v>
      </c>
      <c r="F308" s="69" t="s">
        <v>153</v>
      </c>
    </row>
    <row r="309" spans="1:6" x14ac:dyDescent="0.35">
      <c r="A309" s="71">
        <v>11</v>
      </c>
      <c r="B309" s="72">
        <v>46308</v>
      </c>
      <c r="C309" s="73">
        <v>10</v>
      </c>
      <c r="D309" s="74">
        <v>46291</v>
      </c>
      <c r="E309" s="69" t="s">
        <v>154</v>
      </c>
      <c r="F309" s="69" t="s">
        <v>153</v>
      </c>
    </row>
    <row r="310" spans="1:6" x14ac:dyDescent="0.35">
      <c r="A310" s="71">
        <v>11</v>
      </c>
      <c r="B310" s="72">
        <v>46309</v>
      </c>
      <c r="C310" s="73">
        <v>10</v>
      </c>
      <c r="D310" s="74">
        <v>46290</v>
      </c>
      <c r="E310" s="69" t="s">
        <v>154</v>
      </c>
      <c r="F310" s="69" t="s">
        <v>153</v>
      </c>
    </row>
    <row r="311" spans="1:6" x14ac:dyDescent="0.35">
      <c r="A311" s="71">
        <v>11</v>
      </c>
      <c r="B311" s="72">
        <v>46310</v>
      </c>
      <c r="C311" s="73">
        <v>10</v>
      </c>
      <c r="D311" s="74">
        <v>46289</v>
      </c>
      <c r="E311" s="69" t="s">
        <v>154</v>
      </c>
      <c r="F311" s="69" t="s">
        <v>153</v>
      </c>
    </row>
    <row r="312" spans="1:6" x14ac:dyDescent="0.35">
      <c r="A312" s="71">
        <v>11</v>
      </c>
      <c r="B312" s="72">
        <v>46311</v>
      </c>
      <c r="C312" s="73">
        <v>10</v>
      </c>
      <c r="D312" s="74">
        <v>46288</v>
      </c>
      <c r="E312" s="69" t="s">
        <v>154</v>
      </c>
      <c r="F312" s="69" t="s">
        <v>153</v>
      </c>
    </row>
    <row r="313" spans="1:6" x14ac:dyDescent="0.35">
      <c r="A313" s="71">
        <v>11</v>
      </c>
      <c r="B313" s="72">
        <v>46312</v>
      </c>
      <c r="C313" s="73">
        <v>10</v>
      </c>
      <c r="D313" s="74">
        <v>46287</v>
      </c>
      <c r="E313" s="69" t="s">
        <v>154</v>
      </c>
      <c r="F313" s="69" t="s">
        <v>153</v>
      </c>
    </row>
    <row r="314" spans="1:6" x14ac:dyDescent="0.35">
      <c r="A314" s="71">
        <v>11</v>
      </c>
      <c r="B314" s="72">
        <v>46313</v>
      </c>
      <c r="C314" s="73">
        <v>10</v>
      </c>
      <c r="D314" s="74">
        <v>46286</v>
      </c>
      <c r="E314" s="69" t="s">
        <v>154</v>
      </c>
      <c r="F314" s="69" t="s">
        <v>153</v>
      </c>
    </row>
    <row r="315" spans="1:6" x14ac:dyDescent="0.35">
      <c r="A315" s="71">
        <v>11</v>
      </c>
      <c r="B315" s="72">
        <v>46314</v>
      </c>
      <c r="C315" s="73">
        <v>10</v>
      </c>
      <c r="D315" s="74">
        <v>46285</v>
      </c>
      <c r="E315" s="69" t="s">
        <v>154</v>
      </c>
      <c r="F315" s="69" t="s">
        <v>153</v>
      </c>
    </row>
    <row r="316" spans="1:6" x14ac:dyDescent="0.35">
      <c r="A316" s="71">
        <v>11</v>
      </c>
      <c r="B316" s="72">
        <v>46315</v>
      </c>
      <c r="C316" s="73">
        <v>10</v>
      </c>
      <c r="D316" s="74">
        <v>46284</v>
      </c>
      <c r="E316" s="69" t="s">
        <v>154</v>
      </c>
      <c r="F316" s="69" t="s">
        <v>153</v>
      </c>
    </row>
    <row r="317" spans="1:6" x14ac:dyDescent="0.35">
      <c r="A317" s="71">
        <v>11</v>
      </c>
      <c r="B317" s="72">
        <v>46316</v>
      </c>
      <c r="C317" s="73">
        <v>10</v>
      </c>
      <c r="D317" s="74">
        <v>46283</v>
      </c>
      <c r="E317" s="69" t="s">
        <v>154</v>
      </c>
      <c r="F317" s="69" t="s">
        <v>153</v>
      </c>
    </row>
    <row r="318" spans="1:6" x14ac:dyDescent="0.35">
      <c r="A318" s="71">
        <v>11</v>
      </c>
      <c r="B318" s="72">
        <v>46317</v>
      </c>
      <c r="C318" s="73">
        <v>10</v>
      </c>
      <c r="D318" s="74">
        <v>46282</v>
      </c>
      <c r="E318" s="69" t="s">
        <v>154</v>
      </c>
      <c r="F318" s="69" t="s">
        <v>153</v>
      </c>
    </row>
    <row r="319" spans="1:6" x14ac:dyDescent="0.35">
      <c r="A319" s="71">
        <v>11</v>
      </c>
      <c r="B319" s="72">
        <v>46318</v>
      </c>
      <c r="C319" s="73">
        <v>10</v>
      </c>
      <c r="D319" s="74">
        <v>46281</v>
      </c>
      <c r="E319" s="69" t="s">
        <v>154</v>
      </c>
      <c r="F319" s="69" t="s">
        <v>153</v>
      </c>
    </row>
    <row r="320" spans="1:6" x14ac:dyDescent="0.35">
      <c r="A320" s="71">
        <v>11</v>
      </c>
      <c r="B320" s="72">
        <v>46319</v>
      </c>
      <c r="C320" s="73">
        <v>10</v>
      </c>
      <c r="D320" s="74">
        <v>46280</v>
      </c>
      <c r="E320" s="69" t="s">
        <v>154</v>
      </c>
      <c r="F320" s="69" t="s">
        <v>153</v>
      </c>
    </row>
    <row r="321" spans="1:6" x14ac:dyDescent="0.35">
      <c r="A321" s="71">
        <v>11</v>
      </c>
      <c r="B321" s="72">
        <v>46320</v>
      </c>
      <c r="C321" s="73">
        <v>10</v>
      </c>
      <c r="D321" s="74">
        <v>46279</v>
      </c>
      <c r="E321" s="69" t="s">
        <v>154</v>
      </c>
      <c r="F321" s="69" t="s">
        <v>153</v>
      </c>
    </row>
    <row r="322" spans="1:6" x14ac:dyDescent="0.35">
      <c r="A322" s="71">
        <v>11</v>
      </c>
      <c r="B322" s="72">
        <v>46321</v>
      </c>
      <c r="C322" s="73">
        <v>10</v>
      </c>
      <c r="D322" s="74">
        <v>46278</v>
      </c>
      <c r="E322" s="69" t="s">
        <v>154</v>
      </c>
      <c r="F322" s="69" t="s">
        <v>153</v>
      </c>
    </row>
    <row r="323" spans="1:6" x14ac:dyDescent="0.35">
      <c r="A323" s="71">
        <v>11</v>
      </c>
      <c r="B323" s="72">
        <v>46322</v>
      </c>
      <c r="C323" s="73">
        <v>10</v>
      </c>
      <c r="D323" s="74">
        <v>46277</v>
      </c>
      <c r="E323" s="69" t="s">
        <v>154</v>
      </c>
      <c r="F323" s="69" t="s">
        <v>153</v>
      </c>
    </row>
    <row r="324" spans="1:6" x14ac:dyDescent="0.35">
      <c r="A324" s="71">
        <v>11</v>
      </c>
      <c r="B324" s="72">
        <v>46323</v>
      </c>
      <c r="C324" s="73">
        <v>10</v>
      </c>
      <c r="D324" s="74">
        <v>46276</v>
      </c>
      <c r="E324" s="69" t="s">
        <v>154</v>
      </c>
      <c r="F324" s="69" t="s">
        <v>153</v>
      </c>
    </row>
    <row r="325" spans="1:6" x14ac:dyDescent="0.35">
      <c r="A325" s="71">
        <v>11</v>
      </c>
      <c r="B325" s="72">
        <v>46324</v>
      </c>
      <c r="C325" s="73">
        <v>10</v>
      </c>
      <c r="D325" s="74">
        <v>46275</v>
      </c>
      <c r="E325" s="69" t="s">
        <v>154</v>
      </c>
      <c r="F325" s="69" t="s">
        <v>153</v>
      </c>
    </row>
    <row r="326" spans="1:6" x14ac:dyDescent="0.35">
      <c r="A326" s="71">
        <v>11</v>
      </c>
      <c r="B326" s="72">
        <v>46325</v>
      </c>
      <c r="C326" s="73">
        <v>10</v>
      </c>
      <c r="D326" s="74">
        <v>46274</v>
      </c>
      <c r="E326" s="69" t="s">
        <v>154</v>
      </c>
      <c r="F326" s="69" t="s">
        <v>153</v>
      </c>
    </row>
    <row r="327" spans="1:6" x14ac:dyDescent="0.35">
      <c r="A327" s="71">
        <v>11</v>
      </c>
      <c r="B327" s="72">
        <v>46326</v>
      </c>
      <c r="C327" s="73">
        <v>10</v>
      </c>
      <c r="D327" s="74">
        <v>46273</v>
      </c>
      <c r="E327" s="69" t="s">
        <v>154</v>
      </c>
      <c r="F327" s="69" t="s">
        <v>153</v>
      </c>
    </row>
    <row r="328" spans="1:6" x14ac:dyDescent="0.35">
      <c r="A328" s="71">
        <v>11</v>
      </c>
      <c r="B328" s="72">
        <v>46327</v>
      </c>
      <c r="C328" s="73">
        <v>10</v>
      </c>
      <c r="D328" s="74">
        <v>46272</v>
      </c>
      <c r="E328" s="69" t="s">
        <v>154</v>
      </c>
      <c r="F328" s="69" t="s">
        <v>153</v>
      </c>
    </row>
    <row r="329" spans="1:6" x14ac:dyDescent="0.35">
      <c r="A329" s="71">
        <v>12</v>
      </c>
      <c r="B329" s="72">
        <v>46328</v>
      </c>
      <c r="C329" s="73">
        <v>11</v>
      </c>
      <c r="D329" s="74">
        <v>46327</v>
      </c>
      <c r="E329" s="69" t="s">
        <v>155</v>
      </c>
      <c r="F329" s="69" t="s">
        <v>154</v>
      </c>
    </row>
    <row r="330" spans="1:6" x14ac:dyDescent="0.35">
      <c r="A330" s="71">
        <v>12</v>
      </c>
      <c r="B330" s="72">
        <v>46329</v>
      </c>
      <c r="C330" s="73">
        <v>11</v>
      </c>
      <c r="D330" s="74">
        <v>46326</v>
      </c>
      <c r="E330" s="69" t="s">
        <v>155</v>
      </c>
      <c r="F330" s="69" t="s">
        <v>154</v>
      </c>
    </row>
    <row r="331" spans="1:6" x14ac:dyDescent="0.35">
      <c r="A331" s="71">
        <v>12</v>
      </c>
      <c r="B331" s="72">
        <v>46330</v>
      </c>
      <c r="C331" s="73">
        <v>11</v>
      </c>
      <c r="D331" s="74">
        <v>46325</v>
      </c>
      <c r="E331" s="69" t="s">
        <v>155</v>
      </c>
      <c r="F331" s="69" t="s">
        <v>154</v>
      </c>
    </row>
    <row r="332" spans="1:6" x14ac:dyDescent="0.35">
      <c r="A332" s="71">
        <v>12</v>
      </c>
      <c r="B332" s="72">
        <v>46331</v>
      </c>
      <c r="C332" s="73">
        <v>11</v>
      </c>
      <c r="D332" s="74">
        <v>46324</v>
      </c>
      <c r="E332" s="69" t="s">
        <v>155</v>
      </c>
      <c r="F332" s="69" t="s">
        <v>154</v>
      </c>
    </row>
    <row r="333" spans="1:6" x14ac:dyDescent="0.35">
      <c r="A333" s="71">
        <v>12</v>
      </c>
      <c r="B333" s="72">
        <v>46332</v>
      </c>
      <c r="C333" s="73">
        <v>11</v>
      </c>
      <c r="D333" s="74">
        <v>46323</v>
      </c>
      <c r="E333" s="69" t="s">
        <v>155</v>
      </c>
      <c r="F333" s="69" t="s">
        <v>154</v>
      </c>
    </row>
    <row r="334" spans="1:6" x14ac:dyDescent="0.35">
      <c r="A334" s="71">
        <v>12</v>
      </c>
      <c r="B334" s="72">
        <v>46333</v>
      </c>
      <c r="C334" s="73">
        <v>11</v>
      </c>
      <c r="D334" s="74">
        <v>46322</v>
      </c>
      <c r="E334" s="69" t="s">
        <v>155</v>
      </c>
      <c r="F334" s="69" t="s">
        <v>154</v>
      </c>
    </row>
    <row r="335" spans="1:6" x14ac:dyDescent="0.35">
      <c r="A335" s="71">
        <v>12</v>
      </c>
      <c r="B335" s="72">
        <v>46334</v>
      </c>
      <c r="C335" s="73">
        <v>11</v>
      </c>
      <c r="D335" s="74">
        <v>46321</v>
      </c>
      <c r="E335" s="69" t="s">
        <v>155</v>
      </c>
      <c r="F335" s="69" t="s">
        <v>154</v>
      </c>
    </row>
    <row r="336" spans="1:6" x14ac:dyDescent="0.35">
      <c r="A336" s="71">
        <v>12</v>
      </c>
      <c r="B336" s="72">
        <v>46335</v>
      </c>
      <c r="C336" s="73">
        <v>11</v>
      </c>
      <c r="D336" s="74">
        <v>46320</v>
      </c>
      <c r="E336" s="69" t="s">
        <v>155</v>
      </c>
      <c r="F336" s="69" t="s">
        <v>154</v>
      </c>
    </row>
    <row r="337" spans="1:6" x14ac:dyDescent="0.35">
      <c r="A337" s="71">
        <v>12</v>
      </c>
      <c r="B337" s="72">
        <v>46336</v>
      </c>
      <c r="C337" s="73">
        <v>11</v>
      </c>
      <c r="D337" s="74">
        <v>46319</v>
      </c>
      <c r="E337" s="69" t="s">
        <v>155</v>
      </c>
      <c r="F337" s="69" t="s">
        <v>154</v>
      </c>
    </row>
    <row r="338" spans="1:6" x14ac:dyDescent="0.35">
      <c r="A338" s="71">
        <v>12</v>
      </c>
      <c r="B338" s="72">
        <v>46337</v>
      </c>
      <c r="C338" s="73">
        <v>11</v>
      </c>
      <c r="D338" s="74">
        <v>46318</v>
      </c>
      <c r="E338" s="69" t="s">
        <v>155</v>
      </c>
      <c r="F338" s="69" t="s">
        <v>154</v>
      </c>
    </row>
    <row r="339" spans="1:6" x14ac:dyDescent="0.35">
      <c r="A339" s="71">
        <v>12</v>
      </c>
      <c r="B339" s="72">
        <v>46338</v>
      </c>
      <c r="C339" s="73">
        <v>11</v>
      </c>
      <c r="D339" s="74">
        <v>46317</v>
      </c>
      <c r="E339" s="69" t="s">
        <v>155</v>
      </c>
      <c r="F339" s="69" t="s">
        <v>154</v>
      </c>
    </row>
    <row r="340" spans="1:6" x14ac:dyDescent="0.35">
      <c r="A340" s="71">
        <v>12</v>
      </c>
      <c r="B340" s="72">
        <v>46339</v>
      </c>
      <c r="C340" s="73">
        <v>11</v>
      </c>
      <c r="D340" s="74">
        <v>46316</v>
      </c>
      <c r="E340" s="69" t="s">
        <v>155</v>
      </c>
      <c r="F340" s="69" t="s">
        <v>154</v>
      </c>
    </row>
    <row r="341" spans="1:6" x14ac:dyDescent="0.35">
      <c r="A341" s="71">
        <v>12</v>
      </c>
      <c r="B341" s="72">
        <v>46340</v>
      </c>
      <c r="C341" s="73">
        <v>11</v>
      </c>
      <c r="D341" s="74">
        <v>46315</v>
      </c>
      <c r="E341" s="69" t="s">
        <v>155</v>
      </c>
      <c r="F341" s="69" t="s">
        <v>154</v>
      </c>
    </row>
    <row r="342" spans="1:6" x14ac:dyDescent="0.35">
      <c r="A342" s="71">
        <v>12</v>
      </c>
      <c r="B342" s="72">
        <v>46341</v>
      </c>
      <c r="C342" s="73">
        <v>11</v>
      </c>
      <c r="D342" s="74">
        <v>46314</v>
      </c>
      <c r="E342" s="69" t="s">
        <v>155</v>
      </c>
      <c r="F342" s="69" t="s">
        <v>154</v>
      </c>
    </row>
    <row r="343" spans="1:6" x14ac:dyDescent="0.35">
      <c r="A343" s="71">
        <v>12</v>
      </c>
      <c r="B343" s="72">
        <v>46342</v>
      </c>
      <c r="C343" s="73">
        <v>11</v>
      </c>
      <c r="D343" s="74">
        <v>46313</v>
      </c>
      <c r="E343" s="69" t="s">
        <v>155</v>
      </c>
      <c r="F343" s="69" t="s">
        <v>154</v>
      </c>
    </row>
    <row r="344" spans="1:6" x14ac:dyDescent="0.35">
      <c r="A344" s="71">
        <v>12</v>
      </c>
      <c r="B344" s="72">
        <v>46343</v>
      </c>
      <c r="C344" s="73">
        <v>11</v>
      </c>
      <c r="D344" s="74">
        <v>46312</v>
      </c>
      <c r="E344" s="69" t="s">
        <v>155</v>
      </c>
      <c r="F344" s="69" t="s">
        <v>154</v>
      </c>
    </row>
    <row r="345" spans="1:6" x14ac:dyDescent="0.35">
      <c r="A345" s="71">
        <v>12</v>
      </c>
      <c r="B345" s="72">
        <v>46344</v>
      </c>
      <c r="C345" s="73">
        <v>11</v>
      </c>
      <c r="D345" s="74">
        <v>46311</v>
      </c>
      <c r="E345" s="69" t="s">
        <v>155</v>
      </c>
      <c r="F345" s="69" t="s">
        <v>154</v>
      </c>
    </row>
    <row r="346" spans="1:6" x14ac:dyDescent="0.35">
      <c r="A346" s="71">
        <v>12</v>
      </c>
      <c r="B346" s="72">
        <v>46345</v>
      </c>
      <c r="C346" s="73">
        <v>11</v>
      </c>
      <c r="D346" s="74">
        <v>46310</v>
      </c>
      <c r="E346" s="69" t="s">
        <v>155</v>
      </c>
      <c r="F346" s="69" t="s">
        <v>154</v>
      </c>
    </row>
    <row r="347" spans="1:6" x14ac:dyDescent="0.35">
      <c r="A347" s="71">
        <v>12</v>
      </c>
      <c r="B347" s="72">
        <v>46346</v>
      </c>
      <c r="C347" s="73">
        <v>11</v>
      </c>
      <c r="D347" s="74">
        <v>46309</v>
      </c>
      <c r="E347" s="69" t="s">
        <v>155</v>
      </c>
      <c r="F347" s="69" t="s">
        <v>154</v>
      </c>
    </row>
    <row r="348" spans="1:6" x14ac:dyDescent="0.35">
      <c r="A348" s="71">
        <v>12</v>
      </c>
      <c r="B348" s="72">
        <v>46347</v>
      </c>
      <c r="C348" s="73">
        <v>11</v>
      </c>
      <c r="D348" s="74">
        <v>46308</v>
      </c>
      <c r="E348" s="69" t="s">
        <v>155</v>
      </c>
      <c r="F348" s="69" t="s">
        <v>154</v>
      </c>
    </row>
    <row r="349" spans="1:6" x14ac:dyDescent="0.35">
      <c r="A349" s="71">
        <v>12</v>
      </c>
      <c r="B349" s="72">
        <v>46348</v>
      </c>
      <c r="C349" s="73">
        <v>11</v>
      </c>
      <c r="D349" s="74">
        <v>46307</v>
      </c>
      <c r="E349" s="69" t="s">
        <v>155</v>
      </c>
      <c r="F349" s="69" t="s">
        <v>154</v>
      </c>
    </row>
    <row r="350" spans="1:6" x14ac:dyDescent="0.35">
      <c r="A350" s="71">
        <v>12</v>
      </c>
      <c r="B350" s="72">
        <v>46349</v>
      </c>
      <c r="C350" s="73">
        <v>11</v>
      </c>
      <c r="D350" s="74">
        <v>46306</v>
      </c>
      <c r="E350" s="69" t="s">
        <v>155</v>
      </c>
      <c r="F350" s="69" t="s">
        <v>154</v>
      </c>
    </row>
    <row r="351" spans="1:6" x14ac:dyDescent="0.35">
      <c r="A351" s="71">
        <v>12</v>
      </c>
      <c r="B351" s="72">
        <v>46350</v>
      </c>
      <c r="C351" s="73">
        <v>11</v>
      </c>
      <c r="D351" s="74">
        <v>46305</v>
      </c>
      <c r="E351" s="69" t="s">
        <v>155</v>
      </c>
      <c r="F351" s="69" t="s">
        <v>154</v>
      </c>
    </row>
    <row r="352" spans="1:6" x14ac:dyDescent="0.35">
      <c r="A352" s="71">
        <v>12</v>
      </c>
      <c r="B352" s="72">
        <v>46351</v>
      </c>
      <c r="C352" s="73">
        <v>11</v>
      </c>
      <c r="D352" s="74">
        <v>46304</v>
      </c>
      <c r="E352" s="69" t="s">
        <v>155</v>
      </c>
      <c r="F352" s="69" t="s">
        <v>154</v>
      </c>
    </row>
    <row r="353" spans="1:6" x14ac:dyDescent="0.35">
      <c r="A353" s="71">
        <v>12</v>
      </c>
      <c r="B353" s="72">
        <v>46352</v>
      </c>
      <c r="C353" s="73">
        <v>11</v>
      </c>
      <c r="D353" s="74">
        <v>46303</v>
      </c>
      <c r="E353" s="69" t="s">
        <v>155</v>
      </c>
      <c r="F353" s="69" t="s">
        <v>154</v>
      </c>
    </row>
    <row r="354" spans="1:6" x14ac:dyDescent="0.35">
      <c r="A354" s="71">
        <v>12</v>
      </c>
      <c r="B354" s="72">
        <v>46353</v>
      </c>
      <c r="C354" s="73">
        <v>11</v>
      </c>
      <c r="D354" s="74">
        <v>46302</v>
      </c>
      <c r="E354" s="69" t="s">
        <v>155</v>
      </c>
      <c r="F354" s="69" t="s">
        <v>154</v>
      </c>
    </row>
    <row r="355" spans="1:6" x14ac:dyDescent="0.35">
      <c r="A355" s="71">
        <v>12</v>
      </c>
      <c r="B355" s="72">
        <v>46354</v>
      </c>
      <c r="C355" s="73">
        <v>11</v>
      </c>
      <c r="D355" s="74">
        <v>46301</v>
      </c>
      <c r="E355" s="69" t="s">
        <v>155</v>
      </c>
      <c r="F355" s="69" t="s">
        <v>154</v>
      </c>
    </row>
    <row r="356" spans="1:6" x14ac:dyDescent="0.35">
      <c r="A356" s="71">
        <v>12</v>
      </c>
      <c r="B356" s="72">
        <v>46355</v>
      </c>
      <c r="C356" s="73">
        <v>11</v>
      </c>
      <c r="D356" s="74">
        <v>46300</v>
      </c>
      <c r="E356" s="69" t="s">
        <v>155</v>
      </c>
      <c r="F356" s="69" t="s">
        <v>154</v>
      </c>
    </row>
    <row r="357" spans="1:6" x14ac:dyDescent="0.35">
      <c r="A357" s="71">
        <v>13</v>
      </c>
      <c r="B357" s="72">
        <v>46356</v>
      </c>
      <c r="C357" s="73">
        <v>12</v>
      </c>
      <c r="D357" s="74">
        <v>46355</v>
      </c>
      <c r="E357" s="69" t="s">
        <v>156</v>
      </c>
      <c r="F357" s="69" t="s">
        <v>155</v>
      </c>
    </row>
    <row r="358" spans="1:6" x14ac:dyDescent="0.35">
      <c r="A358" s="71">
        <v>13</v>
      </c>
      <c r="B358" s="72">
        <v>46357</v>
      </c>
      <c r="C358" s="73">
        <v>12</v>
      </c>
      <c r="D358" s="74">
        <v>46354</v>
      </c>
      <c r="E358" s="69" t="s">
        <v>156</v>
      </c>
      <c r="F358" s="69" t="s">
        <v>155</v>
      </c>
    </row>
    <row r="359" spans="1:6" x14ac:dyDescent="0.35">
      <c r="A359" s="71">
        <v>13</v>
      </c>
      <c r="B359" s="72">
        <v>46358</v>
      </c>
      <c r="C359" s="73">
        <v>12</v>
      </c>
      <c r="D359" s="74">
        <v>46353</v>
      </c>
      <c r="E359" s="69" t="s">
        <v>156</v>
      </c>
      <c r="F359" s="69" t="s">
        <v>155</v>
      </c>
    </row>
    <row r="360" spans="1:6" x14ac:dyDescent="0.35">
      <c r="A360" s="71">
        <v>13</v>
      </c>
      <c r="B360" s="72">
        <v>46359</v>
      </c>
      <c r="C360" s="73">
        <v>12</v>
      </c>
      <c r="D360" s="74">
        <v>46352</v>
      </c>
      <c r="E360" s="69" t="s">
        <v>156</v>
      </c>
      <c r="F360" s="69" t="s">
        <v>155</v>
      </c>
    </row>
    <row r="361" spans="1:6" x14ac:dyDescent="0.35">
      <c r="A361" s="71">
        <v>13</v>
      </c>
      <c r="B361" s="72">
        <v>46360</v>
      </c>
      <c r="C361" s="73">
        <v>12</v>
      </c>
      <c r="D361" s="74">
        <v>46351</v>
      </c>
      <c r="E361" s="69" t="s">
        <v>156</v>
      </c>
      <c r="F361" s="69" t="s">
        <v>155</v>
      </c>
    </row>
    <row r="362" spans="1:6" x14ac:dyDescent="0.35">
      <c r="A362" s="71">
        <v>13</v>
      </c>
      <c r="B362" s="72">
        <v>46361</v>
      </c>
      <c r="C362" s="73">
        <v>12</v>
      </c>
      <c r="D362" s="74">
        <v>46350</v>
      </c>
      <c r="E362" s="69" t="s">
        <v>156</v>
      </c>
      <c r="F362" s="69" t="s">
        <v>155</v>
      </c>
    </row>
    <row r="363" spans="1:6" x14ac:dyDescent="0.35">
      <c r="A363" s="71">
        <v>13</v>
      </c>
      <c r="B363" s="72">
        <v>46362</v>
      </c>
      <c r="C363" s="73">
        <v>12</v>
      </c>
      <c r="D363" s="74">
        <v>46349</v>
      </c>
      <c r="E363" s="69" t="s">
        <v>156</v>
      </c>
      <c r="F363" s="69" t="s">
        <v>155</v>
      </c>
    </row>
    <row r="364" spans="1:6" x14ac:dyDescent="0.35">
      <c r="A364" s="71">
        <v>13</v>
      </c>
      <c r="B364" s="72">
        <v>46363</v>
      </c>
      <c r="C364" s="73">
        <v>12</v>
      </c>
      <c r="D364" s="74">
        <v>46348</v>
      </c>
      <c r="E364" s="69" t="s">
        <v>156</v>
      </c>
      <c r="F364" s="69" t="s">
        <v>155</v>
      </c>
    </row>
    <row r="365" spans="1:6" x14ac:dyDescent="0.35">
      <c r="A365" s="71">
        <v>13</v>
      </c>
      <c r="B365" s="72">
        <v>46364</v>
      </c>
      <c r="C365" s="73">
        <v>12</v>
      </c>
      <c r="D365" s="74">
        <v>46347</v>
      </c>
      <c r="E365" s="69" t="s">
        <v>156</v>
      </c>
      <c r="F365" s="69" t="s">
        <v>155</v>
      </c>
    </row>
    <row r="366" spans="1:6" x14ac:dyDescent="0.35">
      <c r="A366" s="71">
        <v>13</v>
      </c>
      <c r="B366" s="72">
        <v>46365</v>
      </c>
      <c r="C366" s="73">
        <v>12</v>
      </c>
      <c r="D366" s="74">
        <v>46346</v>
      </c>
      <c r="E366" s="69" t="s">
        <v>156</v>
      </c>
      <c r="F366" s="69" t="s">
        <v>155</v>
      </c>
    </row>
    <row r="367" spans="1:6" x14ac:dyDescent="0.35">
      <c r="A367" s="71">
        <v>13</v>
      </c>
      <c r="B367" s="72">
        <v>46366</v>
      </c>
      <c r="C367" s="73">
        <v>12</v>
      </c>
      <c r="D367" s="74">
        <v>46345</v>
      </c>
      <c r="E367" s="69" t="s">
        <v>156</v>
      </c>
      <c r="F367" s="69" t="s">
        <v>155</v>
      </c>
    </row>
    <row r="368" spans="1:6" x14ac:dyDescent="0.35">
      <c r="A368" s="71">
        <v>13</v>
      </c>
      <c r="B368" s="72">
        <v>46367</v>
      </c>
      <c r="C368" s="73">
        <v>12</v>
      </c>
      <c r="D368" s="74">
        <v>46344</v>
      </c>
      <c r="E368" s="69" t="s">
        <v>156</v>
      </c>
      <c r="F368" s="69" t="s">
        <v>155</v>
      </c>
    </row>
    <row r="369" spans="1:6" x14ac:dyDescent="0.35">
      <c r="A369" s="71">
        <v>13</v>
      </c>
      <c r="B369" s="72">
        <v>46368</v>
      </c>
      <c r="C369" s="73">
        <v>12</v>
      </c>
      <c r="D369" s="74">
        <v>46343</v>
      </c>
      <c r="E369" s="69" t="s">
        <v>156</v>
      </c>
      <c r="F369" s="69" t="s">
        <v>155</v>
      </c>
    </row>
    <row r="370" spans="1:6" x14ac:dyDescent="0.35">
      <c r="A370" s="71">
        <v>13</v>
      </c>
      <c r="B370" s="72">
        <v>46369</v>
      </c>
      <c r="C370" s="73">
        <v>12</v>
      </c>
      <c r="D370" s="74">
        <v>46342</v>
      </c>
      <c r="E370" s="69" t="s">
        <v>156</v>
      </c>
      <c r="F370" s="69" t="s">
        <v>155</v>
      </c>
    </row>
    <row r="371" spans="1:6" x14ac:dyDescent="0.35">
      <c r="A371" s="71">
        <v>13</v>
      </c>
      <c r="B371" s="72">
        <v>46370</v>
      </c>
      <c r="C371" s="73">
        <v>12</v>
      </c>
      <c r="D371" s="74">
        <v>46341</v>
      </c>
      <c r="E371" s="69" t="s">
        <v>156</v>
      </c>
      <c r="F371" s="69" t="s">
        <v>155</v>
      </c>
    </row>
    <row r="372" spans="1:6" x14ac:dyDescent="0.35">
      <c r="A372" s="71">
        <v>13</v>
      </c>
      <c r="B372" s="72">
        <v>46371</v>
      </c>
      <c r="C372" s="73">
        <v>12</v>
      </c>
      <c r="D372" s="74">
        <v>46340</v>
      </c>
      <c r="E372" s="69" t="s">
        <v>156</v>
      </c>
      <c r="F372" s="69" t="s">
        <v>155</v>
      </c>
    </row>
    <row r="373" spans="1:6" x14ac:dyDescent="0.35">
      <c r="A373" s="71">
        <v>13</v>
      </c>
      <c r="B373" s="72">
        <v>46372</v>
      </c>
      <c r="C373" s="73">
        <v>12</v>
      </c>
      <c r="D373" s="74">
        <v>46339</v>
      </c>
      <c r="E373" s="69" t="s">
        <v>156</v>
      </c>
      <c r="F373" s="69" t="s">
        <v>155</v>
      </c>
    </row>
    <row r="374" spans="1:6" x14ac:dyDescent="0.35">
      <c r="A374" s="71">
        <v>13</v>
      </c>
      <c r="B374" s="72">
        <v>46373</v>
      </c>
      <c r="C374" s="73">
        <v>12</v>
      </c>
      <c r="D374" s="74">
        <v>46338</v>
      </c>
      <c r="E374" s="69" t="s">
        <v>156</v>
      </c>
      <c r="F374" s="69" t="s">
        <v>155</v>
      </c>
    </row>
    <row r="375" spans="1:6" x14ac:dyDescent="0.35">
      <c r="A375" s="71">
        <v>13</v>
      </c>
      <c r="B375" s="72">
        <v>46374</v>
      </c>
      <c r="C375" s="73">
        <v>12</v>
      </c>
      <c r="D375" s="74">
        <v>46337</v>
      </c>
      <c r="E375" s="69" t="s">
        <v>156</v>
      </c>
      <c r="F375" s="69" t="s">
        <v>155</v>
      </c>
    </row>
    <row r="376" spans="1:6" x14ac:dyDescent="0.35">
      <c r="A376" s="71">
        <v>13</v>
      </c>
      <c r="B376" s="72">
        <v>46375</v>
      </c>
      <c r="C376" s="73">
        <v>12</v>
      </c>
      <c r="D376" s="74">
        <v>46336</v>
      </c>
      <c r="E376" s="69" t="s">
        <v>156</v>
      </c>
      <c r="F376" s="69" t="s">
        <v>155</v>
      </c>
    </row>
    <row r="377" spans="1:6" x14ac:dyDescent="0.35">
      <c r="A377" s="71">
        <v>13</v>
      </c>
      <c r="B377" s="72">
        <v>46376</v>
      </c>
      <c r="C377" s="73">
        <v>12</v>
      </c>
      <c r="D377" s="74">
        <v>46335</v>
      </c>
      <c r="E377" s="69" t="s">
        <v>156</v>
      </c>
      <c r="F377" s="69" t="s">
        <v>155</v>
      </c>
    </row>
    <row r="378" spans="1:6" x14ac:dyDescent="0.35">
      <c r="A378" s="71">
        <v>13</v>
      </c>
      <c r="B378" s="72">
        <v>46377</v>
      </c>
      <c r="C378" s="73">
        <v>12</v>
      </c>
      <c r="D378" s="74">
        <v>46334</v>
      </c>
      <c r="E378" s="69" t="s">
        <v>156</v>
      </c>
      <c r="F378" s="69" t="s">
        <v>155</v>
      </c>
    </row>
    <row r="379" spans="1:6" x14ac:dyDescent="0.35">
      <c r="A379" s="71">
        <v>13</v>
      </c>
      <c r="B379" s="72">
        <v>46378</v>
      </c>
      <c r="C379" s="73">
        <v>12</v>
      </c>
      <c r="D379" s="74">
        <v>46333</v>
      </c>
      <c r="E379" s="69" t="s">
        <v>156</v>
      </c>
      <c r="F379" s="69" t="s">
        <v>155</v>
      </c>
    </row>
    <row r="380" spans="1:6" x14ac:dyDescent="0.35">
      <c r="A380" s="71">
        <v>13</v>
      </c>
      <c r="B380" s="72">
        <v>46379</v>
      </c>
      <c r="C380" s="73">
        <v>12</v>
      </c>
      <c r="D380" s="74">
        <v>46332</v>
      </c>
      <c r="E380" s="69" t="s">
        <v>156</v>
      </c>
      <c r="F380" s="69" t="s">
        <v>155</v>
      </c>
    </row>
    <row r="381" spans="1:6" x14ac:dyDescent="0.35">
      <c r="A381" s="71">
        <v>13</v>
      </c>
      <c r="B381" s="72">
        <v>46380</v>
      </c>
      <c r="C381" s="73">
        <v>12</v>
      </c>
      <c r="D381" s="74">
        <v>46331</v>
      </c>
      <c r="E381" s="69" t="s">
        <v>156</v>
      </c>
      <c r="F381" s="69" t="s">
        <v>155</v>
      </c>
    </row>
    <row r="382" spans="1:6" x14ac:dyDescent="0.35">
      <c r="A382" s="71">
        <v>13</v>
      </c>
      <c r="B382" s="72">
        <v>46381</v>
      </c>
      <c r="C382" s="73">
        <v>12</v>
      </c>
      <c r="D382" s="74">
        <v>46330</v>
      </c>
      <c r="E382" s="69" t="s">
        <v>156</v>
      </c>
      <c r="F382" s="69" t="s">
        <v>155</v>
      </c>
    </row>
    <row r="383" spans="1:6" x14ac:dyDescent="0.35">
      <c r="A383" s="71">
        <v>13</v>
      </c>
      <c r="B383" s="72">
        <v>46382</v>
      </c>
      <c r="C383" s="73">
        <v>12</v>
      </c>
      <c r="D383" s="74">
        <v>46329</v>
      </c>
      <c r="E383" s="69" t="s">
        <v>156</v>
      </c>
      <c r="F383" s="69" t="s">
        <v>155</v>
      </c>
    </row>
    <row r="384" spans="1:6" x14ac:dyDescent="0.35">
      <c r="A384" s="71">
        <v>13</v>
      </c>
      <c r="B384" s="72">
        <v>46383</v>
      </c>
      <c r="C384" s="73">
        <v>12</v>
      </c>
      <c r="D384" s="74">
        <v>46328</v>
      </c>
      <c r="E384" s="69" t="s">
        <v>156</v>
      </c>
      <c r="F384" s="69" t="s">
        <v>155</v>
      </c>
    </row>
    <row r="385" spans="1:6" x14ac:dyDescent="0.35">
      <c r="A385" s="71">
        <v>14</v>
      </c>
      <c r="B385" s="72">
        <v>46384</v>
      </c>
      <c r="C385" s="73">
        <v>13</v>
      </c>
      <c r="D385" s="74">
        <v>46383</v>
      </c>
      <c r="E385" s="69" t="s">
        <v>157</v>
      </c>
      <c r="F385" s="69" t="s">
        <v>156</v>
      </c>
    </row>
    <row r="386" spans="1:6" x14ac:dyDescent="0.35">
      <c r="A386" s="71">
        <v>14</v>
      </c>
      <c r="B386" s="72">
        <v>46385</v>
      </c>
      <c r="C386" s="73">
        <v>13</v>
      </c>
      <c r="D386" s="74">
        <v>46382</v>
      </c>
      <c r="E386" s="69" t="s">
        <v>157</v>
      </c>
      <c r="F386" s="69" t="s">
        <v>156</v>
      </c>
    </row>
    <row r="387" spans="1:6" x14ac:dyDescent="0.35">
      <c r="A387" s="71">
        <v>14</v>
      </c>
      <c r="B387" s="72">
        <v>46386</v>
      </c>
      <c r="C387" s="73">
        <v>13</v>
      </c>
      <c r="D387" s="74">
        <v>46381</v>
      </c>
      <c r="E387" s="69" t="s">
        <v>157</v>
      </c>
      <c r="F387" s="69" t="s">
        <v>156</v>
      </c>
    </row>
    <row r="388" spans="1:6" x14ac:dyDescent="0.35">
      <c r="A388" s="71">
        <v>14</v>
      </c>
      <c r="B388" s="72">
        <v>46387</v>
      </c>
      <c r="C388" s="73">
        <v>13</v>
      </c>
      <c r="D388" s="74">
        <v>46380</v>
      </c>
      <c r="E388" s="69" t="s">
        <v>157</v>
      </c>
      <c r="F388" s="69" t="s">
        <v>156</v>
      </c>
    </row>
  </sheetData>
  <autoFilter ref="A23:F388" xr:uid="{00000000-0009-0000-0000-000002000000}"/>
  <mergeCells count="4">
    <mergeCell ref="H31:J31"/>
    <mergeCell ref="A22:F22"/>
    <mergeCell ref="A2:H2"/>
    <mergeCell ref="A1:H1"/>
  </mergeCells>
  <dataValidations count="1">
    <dataValidation type="list" promptTitle="Post Period" prompt="Choose Post period" sqref="I23" xr:uid="{00000000-0002-0000-0200-000000000000}">
      <formula1>"1,2,3,4,5,6,7,8,9,10,11,12,13,14"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7D37-925A-4A9B-8297-C8FF7B80B7C3}">
  <dimension ref="A1:E503"/>
  <sheetViews>
    <sheetView workbookViewId="0">
      <selection activeCell="B13" sqref="B13"/>
    </sheetView>
  </sheetViews>
  <sheetFormatPr defaultRowHeight="14.5" x14ac:dyDescent="0.35"/>
  <cols>
    <col min="1" max="1" width="7.54296875" style="91" bestFit="1" customWidth="1"/>
    <col min="2" max="2" width="77" style="91" bestFit="1" customWidth="1"/>
    <col min="3" max="3" width="7.54296875" style="91" bestFit="1" customWidth="1"/>
    <col min="4" max="4" width="14.26953125" style="91" bestFit="1" customWidth="1"/>
    <col min="5" max="5" width="17.54296875" bestFit="1" customWidth="1"/>
  </cols>
  <sheetData>
    <row r="1" spans="1:5" x14ac:dyDescent="0.35">
      <c r="A1" s="87" t="s">
        <v>233</v>
      </c>
      <c r="B1" s="87" t="s">
        <v>187</v>
      </c>
      <c r="C1" s="87" t="s">
        <v>233</v>
      </c>
      <c r="D1" s="87" t="s">
        <v>234</v>
      </c>
      <c r="E1" s="94" t="s">
        <v>746</v>
      </c>
    </row>
    <row r="2" spans="1:5" x14ac:dyDescent="0.35">
      <c r="A2" s="88">
        <v>466</v>
      </c>
      <c r="B2" s="89" t="s">
        <v>235</v>
      </c>
      <c r="C2" s="88">
        <v>466</v>
      </c>
      <c r="D2" s="89" t="s">
        <v>236</v>
      </c>
      <c r="E2" t="s">
        <v>747</v>
      </c>
    </row>
    <row r="3" spans="1:5" x14ac:dyDescent="0.35">
      <c r="A3" s="88">
        <v>496</v>
      </c>
      <c r="B3" s="89" t="s">
        <v>237</v>
      </c>
      <c r="C3" s="88">
        <v>496</v>
      </c>
      <c r="D3" s="89" t="s">
        <v>236</v>
      </c>
      <c r="E3" t="s">
        <v>747</v>
      </c>
    </row>
    <row r="4" spans="1:5" x14ac:dyDescent="0.35">
      <c r="A4" s="88">
        <v>499</v>
      </c>
      <c r="B4" s="89" t="s">
        <v>238</v>
      </c>
      <c r="C4" s="88">
        <v>499</v>
      </c>
      <c r="D4" s="89" t="s">
        <v>236</v>
      </c>
      <c r="E4" t="s">
        <v>747</v>
      </c>
    </row>
    <row r="5" spans="1:5" x14ac:dyDescent="0.35">
      <c r="A5" s="88">
        <v>329</v>
      </c>
      <c r="B5" s="89" t="s">
        <v>239</v>
      </c>
      <c r="C5" s="88">
        <v>329</v>
      </c>
      <c r="D5" s="89" t="s">
        <v>236</v>
      </c>
      <c r="E5" t="s">
        <v>747</v>
      </c>
    </row>
    <row r="6" spans="1:5" x14ac:dyDescent="0.35">
      <c r="A6" s="88">
        <v>339</v>
      </c>
      <c r="B6" s="89" t="s">
        <v>240</v>
      </c>
      <c r="C6" s="88">
        <v>339</v>
      </c>
      <c r="D6" s="89" t="s">
        <v>236</v>
      </c>
      <c r="E6" t="s">
        <v>747</v>
      </c>
    </row>
    <row r="7" spans="1:5" x14ac:dyDescent="0.35">
      <c r="A7" s="88">
        <v>761</v>
      </c>
      <c r="B7" s="89" t="s">
        <v>241</v>
      </c>
      <c r="C7" s="88">
        <v>761</v>
      </c>
      <c r="D7" s="89" t="s">
        <v>236</v>
      </c>
      <c r="E7" t="s">
        <v>747</v>
      </c>
    </row>
    <row r="8" spans="1:5" x14ac:dyDescent="0.35">
      <c r="A8" s="88">
        <v>326</v>
      </c>
      <c r="B8" s="89" t="s">
        <v>242</v>
      </c>
      <c r="C8" s="88">
        <v>326</v>
      </c>
      <c r="D8" s="89" t="s">
        <v>236</v>
      </c>
      <c r="E8" t="s">
        <v>747</v>
      </c>
    </row>
    <row r="9" spans="1:5" x14ac:dyDescent="0.35">
      <c r="A9" s="88">
        <v>334</v>
      </c>
      <c r="B9" s="89" t="s">
        <v>243</v>
      </c>
      <c r="C9" s="88">
        <v>334</v>
      </c>
      <c r="D9" s="89" t="s">
        <v>236</v>
      </c>
      <c r="E9" t="s">
        <v>747</v>
      </c>
    </row>
    <row r="10" spans="1:5" x14ac:dyDescent="0.35">
      <c r="A10" s="88">
        <v>468</v>
      </c>
      <c r="B10" s="89" t="s">
        <v>244</v>
      </c>
      <c r="C10" s="88">
        <v>468</v>
      </c>
      <c r="D10" s="89" t="s">
        <v>236</v>
      </c>
      <c r="E10" t="s">
        <v>747</v>
      </c>
    </row>
    <row r="11" spans="1:5" x14ac:dyDescent="0.35">
      <c r="A11" s="88">
        <v>495</v>
      </c>
      <c r="B11" s="89" t="s">
        <v>245</v>
      </c>
      <c r="C11" s="88">
        <v>495</v>
      </c>
      <c r="D11" s="89" t="s">
        <v>236</v>
      </c>
      <c r="E11" t="s">
        <v>747</v>
      </c>
    </row>
    <row r="12" spans="1:5" x14ac:dyDescent="0.35">
      <c r="A12" s="88">
        <v>498</v>
      </c>
      <c r="B12" s="89" t="s">
        <v>246</v>
      </c>
      <c r="C12" s="88">
        <v>498</v>
      </c>
      <c r="D12" s="89" t="s">
        <v>236</v>
      </c>
      <c r="E12" t="s">
        <v>747</v>
      </c>
    </row>
    <row r="13" spans="1:5" x14ac:dyDescent="0.35">
      <c r="A13" s="88">
        <v>384</v>
      </c>
      <c r="B13" s="89" t="s">
        <v>247</v>
      </c>
      <c r="C13" s="88">
        <v>384</v>
      </c>
      <c r="D13" s="89" t="s">
        <v>236</v>
      </c>
      <c r="E13" t="s">
        <v>747</v>
      </c>
    </row>
    <row r="14" spans="1:5" x14ac:dyDescent="0.35">
      <c r="A14" s="88">
        <v>387</v>
      </c>
      <c r="B14" s="89" t="s">
        <v>248</v>
      </c>
      <c r="C14" s="88">
        <v>387</v>
      </c>
      <c r="D14" s="89" t="s">
        <v>236</v>
      </c>
      <c r="E14" t="s">
        <v>747</v>
      </c>
    </row>
    <row r="15" spans="1:5" x14ac:dyDescent="0.35">
      <c r="A15" s="88">
        <v>377</v>
      </c>
      <c r="B15" s="89" t="s">
        <v>249</v>
      </c>
      <c r="C15" s="88">
        <v>377</v>
      </c>
      <c r="D15" s="89" t="s">
        <v>236</v>
      </c>
      <c r="E15" t="s">
        <v>747</v>
      </c>
    </row>
    <row r="16" spans="1:5" x14ac:dyDescent="0.35">
      <c r="A16" s="88">
        <v>375</v>
      </c>
      <c r="B16" s="89" t="s">
        <v>250</v>
      </c>
      <c r="C16" s="88">
        <v>375</v>
      </c>
      <c r="D16" s="89" t="s">
        <v>236</v>
      </c>
      <c r="E16" t="s">
        <v>747</v>
      </c>
    </row>
    <row r="17" spans="1:5" x14ac:dyDescent="0.35">
      <c r="A17" s="88">
        <v>467</v>
      </c>
      <c r="B17" s="89" t="s">
        <v>251</v>
      </c>
      <c r="C17" s="88">
        <v>467</v>
      </c>
      <c r="D17" s="89" t="s">
        <v>236</v>
      </c>
      <c r="E17" t="s">
        <v>747</v>
      </c>
    </row>
    <row r="18" spans="1:5" x14ac:dyDescent="0.35">
      <c r="A18" s="88">
        <v>340</v>
      </c>
      <c r="B18" s="89" t="s">
        <v>252</v>
      </c>
      <c r="C18" s="88">
        <v>340</v>
      </c>
      <c r="D18" s="89" t="s">
        <v>236</v>
      </c>
      <c r="E18" t="s">
        <v>747</v>
      </c>
    </row>
    <row r="19" spans="1:5" x14ac:dyDescent="0.35">
      <c r="A19" s="88">
        <v>333</v>
      </c>
      <c r="B19" s="89" t="s">
        <v>253</v>
      </c>
      <c r="C19" s="88">
        <v>333</v>
      </c>
      <c r="D19" s="89" t="s">
        <v>236</v>
      </c>
      <c r="E19" t="s">
        <v>747</v>
      </c>
    </row>
    <row r="20" spans="1:5" x14ac:dyDescent="0.35">
      <c r="A20" s="88">
        <v>471</v>
      </c>
      <c r="B20" s="89" t="s">
        <v>254</v>
      </c>
      <c r="C20" s="88">
        <v>471</v>
      </c>
      <c r="D20" s="89" t="s">
        <v>236</v>
      </c>
      <c r="E20" t="s">
        <v>747</v>
      </c>
    </row>
    <row r="21" spans="1:5" x14ac:dyDescent="0.35">
      <c r="A21" s="88">
        <v>492</v>
      </c>
      <c r="B21" s="89" t="s">
        <v>255</v>
      </c>
      <c r="C21" s="88">
        <v>492</v>
      </c>
      <c r="D21" s="89" t="s">
        <v>236</v>
      </c>
      <c r="E21" t="s">
        <v>747</v>
      </c>
    </row>
    <row r="22" spans="1:5" x14ac:dyDescent="0.35">
      <c r="A22" s="88">
        <v>325</v>
      </c>
      <c r="B22" s="89" t="s">
        <v>256</v>
      </c>
      <c r="C22" s="88">
        <v>325</v>
      </c>
      <c r="D22" s="89" t="s">
        <v>236</v>
      </c>
      <c r="E22" t="s">
        <v>747</v>
      </c>
    </row>
    <row r="23" spans="1:5" x14ac:dyDescent="0.35">
      <c r="A23" s="88">
        <v>327</v>
      </c>
      <c r="B23" s="89" t="s">
        <v>257</v>
      </c>
      <c r="C23" s="88">
        <v>327</v>
      </c>
      <c r="D23" s="89" t="s">
        <v>236</v>
      </c>
      <c r="E23" t="s">
        <v>747</v>
      </c>
    </row>
    <row r="24" spans="1:5" x14ac:dyDescent="0.35">
      <c r="A24" s="88">
        <v>386</v>
      </c>
      <c r="B24" s="89" t="s">
        <v>258</v>
      </c>
      <c r="C24" s="88">
        <v>386</v>
      </c>
      <c r="D24" s="89" t="s">
        <v>236</v>
      </c>
      <c r="E24">
        <v>386</v>
      </c>
    </row>
    <row r="25" spans="1:5" x14ac:dyDescent="0.35">
      <c r="A25" s="88">
        <v>380</v>
      </c>
      <c r="B25" s="89" t="s">
        <v>259</v>
      </c>
      <c r="C25" s="88">
        <v>380</v>
      </c>
      <c r="D25" s="89" t="s">
        <v>236</v>
      </c>
      <c r="E25" t="s">
        <v>747</v>
      </c>
    </row>
    <row r="26" spans="1:5" x14ac:dyDescent="0.35">
      <c r="A26" s="88">
        <v>382</v>
      </c>
      <c r="B26" s="89" t="s">
        <v>260</v>
      </c>
      <c r="C26" s="88">
        <v>382</v>
      </c>
      <c r="D26" s="89" t="s">
        <v>236</v>
      </c>
      <c r="E26" t="s">
        <v>747</v>
      </c>
    </row>
    <row r="27" spans="1:5" x14ac:dyDescent="0.35">
      <c r="A27" s="88">
        <v>324</v>
      </c>
      <c r="B27" s="89" t="s">
        <v>261</v>
      </c>
      <c r="C27" s="88">
        <v>324</v>
      </c>
      <c r="D27" s="89" t="s">
        <v>236</v>
      </c>
      <c r="E27" t="s">
        <v>747</v>
      </c>
    </row>
    <row r="28" spans="1:5" x14ac:dyDescent="0.35">
      <c r="A28" s="88">
        <v>491</v>
      </c>
      <c r="B28" s="89" t="s">
        <v>262</v>
      </c>
      <c r="C28" s="88">
        <v>491</v>
      </c>
      <c r="D28" s="89" t="s">
        <v>236</v>
      </c>
      <c r="E28" t="s">
        <v>747</v>
      </c>
    </row>
    <row r="29" spans="1:5" x14ac:dyDescent="0.35">
      <c r="A29" s="88">
        <v>335</v>
      </c>
      <c r="B29" s="89" t="s">
        <v>263</v>
      </c>
      <c r="C29" s="88">
        <v>335</v>
      </c>
      <c r="D29" s="89" t="s">
        <v>236</v>
      </c>
      <c r="E29" t="s">
        <v>747</v>
      </c>
    </row>
    <row r="30" spans="1:5" x14ac:dyDescent="0.35">
      <c r="A30" s="88">
        <v>388</v>
      </c>
      <c r="B30" s="89" t="s">
        <v>264</v>
      </c>
      <c r="C30" s="88">
        <v>388</v>
      </c>
      <c r="D30" s="89" t="s">
        <v>236</v>
      </c>
      <c r="E30" t="s">
        <v>747</v>
      </c>
    </row>
    <row r="31" spans="1:5" x14ac:dyDescent="0.35">
      <c r="A31" s="88">
        <v>494</v>
      </c>
      <c r="B31" s="89" t="s">
        <v>265</v>
      </c>
      <c r="C31" s="88">
        <v>494</v>
      </c>
      <c r="D31" s="89" t="s">
        <v>236</v>
      </c>
      <c r="E31" t="s">
        <v>747</v>
      </c>
    </row>
    <row r="32" spans="1:5" x14ac:dyDescent="0.35">
      <c r="A32" s="88">
        <v>465</v>
      </c>
      <c r="B32" s="89" t="s">
        <v>266</v>
      </c>
      <c r="C32" s="88">
        <v>465</v>
      </c>
      <c r="D32" s="89" t="s">
        <v>236</v>
      </c>
      <c r="E32" t="s">
        <v>747</v>
      </c>
    </row>
    <row r="33" spans="1:5" x14ac:dyDescent="0.35">
      <c r="A33" s="88">
        <v>497</v>
      </c>
      <c r="B33" s="89" t="s">
        <v>267</v>
      </c>
      <c r="C33" s="88">
        <v>497</v>
      </c>
      <c r="D33" s="89" t="s">
        <v>236</v>
      </c>
      <c r="E33" t="s">
        <v>747</v>
      </c>
    </row>
    <row r="34" spans="1:5" x14ac:dyDescent="0.35">
      <c r="A34" s="88">
        <v>378</v>
      </c>
      <c r="B34" s="89" t="s">
        <v>268</v>
      </c>
      <c r="C34" s="88">
        <v>378</v>
      </c>
      <c r="D34" s="89" t="s">
        <v>236</v>
      </c>
      <c r="E34" t="s">
        <v>747</v>
      </c>
    </row>
    <row r="35" spans="1:5" x14ac:dyDescent="0.35">
      <c r="A35" s="88">
        <v>389</v>
      </c>
      <c r="B35" s="89" t="s">
        <v>269</v>
      </c>
      <c r="C35" s="88">
        <v>389</v>
      </c>
      <c r="D35" s="89" t="s">
        <v>236</v>
      </c>
      <c r="E35" t="s">
        <v>747</v>
      </c>
    </row>
    <row r="36" spans="1:5" x14ac:dyDescent="0.35">
      <c r="A36" s="88">
        <v>338</v>
      </c>
      <c r="B36" s="89" t="s">
        <v>270</v>
      </c>
      <c r="C36" s="88">
        <v>338</v>
      </c>
      <c r="D36" s="89" t="s">
        <v>236</v>
      </c>
      <c r="E36" t="s">
        <v>747</v>
      </c>
    </row>
    <row r="37" spans="1:5" x14ac:dyDescent="0.35">
      <c r="A37" s="88">
        <v>385</v>
      </c>
      <c r="B37" s="89" t="s">
        <v>271</v>
      </c>
      <c r="C37" s="88">
        <v>385</v>
      </c>
      <c r="D37" s="89" t="s">
        <v>236</v>
      </c>
      <c r="E37" t="s">
        <v>747</v>
      </c>
    </row>
    <row r="38" spans="1:5" x14ac:dyDescent="0.35">
      <c r="A38" s="88">
        <v>493</v>
      </c>
      <c r="B38" s="89" t="s">
        <v>272</v>
      </c>
      <c r="C38" s="88">
        <v>493</v>
      </c>
      <c r="D38" s="89" t="s">
        <v>236</v>
      </c>
      <c r="E38" t="s">
        <v>747</v>
      </c>
    </row>
    <row r="39" spans="1:5" x14ac:dyDescent="0.35">
      <c r="A39" s="88">
        <v>463</v>
      </c>
      <c r="B39" s="89" t="s">
        <v>273</v>
      </c>
      <c r="C39" s="88">
        <v>463</v>
      </c>
      <c r="D39" s="89" t="s">
        <v>236</v>
      </c>
      <c r="E39" t="s">
        <v>747</v>
      </c>
    </row>
    <row r="40" spans="1:5" x14ac:dyDescent="0.35">
      <c r="A40" s="88">
        <v>336</v>
      </c>
      <c r="B40" s="89" t="s">
        <v>274</v>
      </c>
      <c r="C40" s="88">
        <v>336</v>
      </c>
      <c r="D40" s="89" t="s">
        <v>236</v>
      </c>
      <c r="E40" t="s">
        <v>747</v>
      </c>
    </row>
    <row r="41" spans="1:5" x14ac:dyDescent="0.35">
      <c r="A41" s="88">
        <v>383</v>
      </c>
      <c r="B41" s="89" t="s">
        <v>275</v>
      </c>
      <c r="C41" s="88">
        <v>383</v>
      </c>
      <c r="D41" s="89" t="s">
        <v>236</v>
      </c>
      <c r="E41" t="s">
        <v>747</v>
      </c>
    </row>
    <row r="42" spans="1:5" x14ac:dyDescent="0.35">
      <c r="A42" s="88">
        <v>379</v>
      </c>
      <c r="B42" s="89" t="s">
        <v>276</v>
      </c>
      <c r="C42" s="88">
        <v>379</v>
      </c>
      <c r="D42" s="89" t="s">
        <v>236</v>
      </c>
      <c r="E42" t="s">
        <v>747</v>
      </c>
    </row>
    <row r="43" spans="1:5" x14ac:dyDescent="0.35">
      <c r="A43" s="88">
        <v>337</v>
      </c>
      <c r="B43" s="89" t="s">
        <v>277</v>
      </c>
      <c r="C43" s="88">
        <v>337</v>
      </c>
      <c r="D43" s="89" t="s">
        <v>236</v>
      </c>
      <c r="E43" t="s">
        <v>747</v>
      </c>
    </row>
    <row r="44" spans="1:5" x14ac:dyDescent="0.35">
      <c r="A44" s="90"/>
      <c r="B44" s="89" t="s">
        <v>278</v>
      </c>
      <c r="C44" s="90"/>
      <c r="D44" s="89" t="s">
        <v>279</v>
      </c>
      <c r="E44" t="s">
        <v>747</v>
      </c>
    </row>
    <row r="45" spans="1:5" x14ac:dyDescent="0.35">
      <c r="A45" s="90"/>
      <c r="B45" s="89" t="s">
        <v>280</v>
      </c>
      <c r="C45" s="90"/>
      <c r="D45" s="89" t="s">
        <v>236</v>
      </c>
      <c r="E45" t="s">
        <v>747</v>
      </c>
    </row>
    <row r="46" spans="1:5" x14ac:dyDescent="0.35">
      <c r="A46" s="88">
        <v>746</v>
      </c>
      <c r="B46" s="89" t="s">
        <v>281</v>
      </c>
      <c r="C46" s="88">
        <v>746</v>
      </c>
      <c r="D46" s="89" t="s">
        <v>282</v>
      </c>
      <c r="E46" t="s">
        <v>747</v>
      </c>
    </row>
    <row r="47" spans="1:5" x14ac:dyDescent="0.35">
      <c r="A47" s="88">
        <v>459</v>
      </c>
      <c r="B47" s="89" t="s">
        <v>283</v>
      </c>
      <c r="C47" s="88">
        <v>459</v>
      </c>
      <c r="D47" s="89" t="s">
        <v>282</v>
      </c>
      <c r="E47" t="s">
        <v>747</v>
      </c>
    </row>
    <row r="48" spans="1:5" x14ac:dyDescent="0.35">
      <c r="A48" s="88">
        <v>731</v>
      </c>
      <c r="B48" s="89" t="s">
        <v>284</v>
      </c>
      <c r="C48" s="88">
        <v>731</v>
      </c>
      <c r="D48" s="89" t="s">
        <v>282</v>
      </c>
      <c r="E48" t="s">
        <v>747</v>
      </c>
    </row>
    <row r="49" spans="1:5" x14ac:dyDescent="0.35">
      <c r="A49" s="88">
        <v>458</v>
      </c>
      <c r="B49" s="89" t="s">
        <v>285</v>
      </c>
      <c r="C49" s="88">
        <v>458</v>
      </c>
      <c r="D49" s="89" t="s">
        <v>282</v>
      </c>
      <c r="E49" t="s">
        <v>747</v>
      </c>
    </row>
    <row r="50" spans="1:5" x14ac:dyDescent="0.35">
      <c r="A50" s="88">
        <v>429</v>
      </c>
      <c r="B50" s="89" t="s">
        <v>286</v>
      </c>
      <c r="C50" s="88">
        <v>429</v>
      </c>
      <c r="D50" s="89" t="s">
        <v>282</v>
      </c>
      <c r="E50" t="s">
        <v>747</v>
      </c>
    </row>
    <row r="51" spans="1:5" x14ac:dyDescent="0.35">
      <c r="A51" s="88">
        <v>62</v>
      </c>
      <c r="B51" s="89" t="s">
        <v>287</v>
      </c>
      <c r="C51" s="88">
        <v>62</v>
      </c>
      <c r="D51" s="89" t="s">
        <v>282</v>
      </c>
      <c r="E51" t="s">
        <v>747</v>
      </c>
    </row>
    <row r="52" spans="1:5" x14ac:dyDescent="0.35">
      <c r="A52" s="88">
        <v>15</v>
      </c>
      <c r="B52" s="89" t="s">
        <v>288</v>
      </c>
      <c r="C52" s="88">
        <v>15</v>
      </c>
      <c r="D52" s="89" t="s">
        <v>282</v>
      </c>
      <c r="E52" t="s">
        <v>747</v>
      </c>
    </row>
    <row r="53" spans="1:5" x14ac:dyDescent="0.35">
      <c r="A53" s="88">
        <v>436</v>
      </c>
      <c r="B53" s="89" t="s">
        <v>289</v>
      </c>
      <c r="C53" s="88">
        <v>436</v>
      </c>
      <c r="D53" s="89" t="s">
        <v>282</v>
      </c>
      <c r="E53" t="s">
        <v>747</v>
      </c>
    </row>
    <row r="54" spans="1:5" x14ac:dyDescent="0.35">
      <c r="A54" s="88">
        <v>650</v>
      </c>
      <c r="B54" s="89" t="s">
        <v>290</v>
      </c>
      <c r="C54" s="88">
        <v>650</v>
      </c>
      <c r="D54" s="89" t="s">
        <v>282</v>
      </c>
      <c r="E54" t="s">
        <v>747</v>
      </c>
    </row>
    <row r="55" spans="1:5" x14ac:dyDescent="0.35">
      <c r="A55" s="88">
        <v>89</v>
      </c>
      <c r="B55" s="89" t="s">
        <v>291</v>
      </c>
      <c r="C55" s="88">
        <v>89</v>
      </c>
      <c r="D55" s="89" t="s">
        <v>282</v>
      </c>
      <c r="E55" t="s">
        <v>747</v>
      </c>
    </row>
    <row r="56" spans="1:5" x14ac:dyDescent="0.35">
      <c r="A56" s="88">
        <v>596</v>
      </c>
      <c r="B56" s="89" t="s">
        <v>292</v>
      </c>
      <c r="C56" s="88">
        <v>596</v>
      </c>
      <c r="D56" s="89" t="s">
        <v>282</v>
      </c>
      <c r="E56" t="s">
        <v>747</v>
      </c>
    </row>
    <row r="57" spans="1:5" x14ac:dyDescent="0.35">
      <c r="A57" s="88">
        <v>438</v>
      </c>
      <c r="B57" s="89" t="s">
        <v>293</v>
      </c>
      <c r="C57" s="88">
        <v>438</v>
      </c>
      <c r="D57" s="89" t="s">
        <v>282</v>
      </c>
      <c r="E57" t="s">
        <v>747</v>
      </c>
    </row>
    <row r="58" spans="1:5" x14ac:dyDescent="0.35">
      <c r="A58" s="88">
        <v>451</v>
      </c>
      <c r="B58" s="89" t="s">
        <v>294</v>
      </c>
      <c r="C58" s="88">
        <v>451</v>
      </c>
      <c r="D58" s="89" t="s">
        <v>282</v>
      </c>
      <c r="E58" t="s">
        <v>747</v>
      </c>
    </row>
    <row r="59" spans="1:5" x14ac:dyDescent="0.35">
      <c r="A59" s="88">
        <v>563</v>
      </c>
      <c r="B59" s="89" t="s">
        <v>295</v>
      </c>
      <c r="C59" s="88">
        <v>563</v>
      </c>
      <c r="D59" s="89" t="s">
        <v>282</v>
      </c>
      <c r="E59" t="s">
        <v>747</v>
      </c>
    </row>
    <row r="60" spans="1:5" x14ac:dyDescent="0.35">
      <c r="A60" s="88">
        <v>671</v>
      </c>
      <c r="B60" s="89" t="s">
        <v>296</v>
      </c>
      <c r="C60" s="88">
        <v>671</v>
      </c>
      <c r="D60" s="89" t="s">
        <v>282</v>
      </c>
      <c r="E60" t="s">
        <v>747</v>
      </c>
    </row>
    <row r="61" spans="1:5" x14ac:dyDescent="0.35">
      <c r="A61" s="88">
        <v>46</v>
      </c>
      <c r="B61" s="89" t="s">
        <v>297</v>
      </c>
      <c r="C61" s="88">
        <v>46</v>
      </c>
      <c r="D61" s="89" t="s">
        <v>282</v>
      </c>
      <c r="E61" t="s">
        <v>747</v>
      </c>
    </row>
    <row r="62" spans="1:5" x14ac:dyDescent="0.35">
      <c r="A62" s="88">
        <v>207</v>
      </c>
      <c r="B62" s="89" t="s">
        <v>298</v>
      </c>
      <c r="C62" s="88">
        <v>207</v>
      </c>
      <c r="D62" s="89" t="s">
        <v>282</v>
      </c>
      <c r="E62" t="s">
        <v>747</v>
      </c>
    </row>
    <row r="63" spans="1:5" x14ac:dyDescent="0.35">
      <c r="A63" s="88">
        <v>261</v>
      </c>
      <c r="B63" s="89" t="s">
        <v>299</v>
      </c>
      <c r="C63" s="88">
        <v>261</v>
      </c>
      <c r="D63" s="89" t="s">
        <v>282</v>
      </c>
      <c r="E63" t="s">
        <v>747</v>
      </c>
    </row>
    <row r="64" spans="1:5" x14ac:dyDescent="0.35">
      <c r="A64" s="88">
        <v>752</v>
      </c>
      <c r="B64" s="89" t="s">
        <v>300</v>
      </c>
      <c r="C64" s="88">
        <v>752</v>
      </c>
      <c r="D64" s="89" t="s">
        <v>282</v>
      </c>
      <c r="E64" t="s">
        <v>747</v>
      </c>
    </row>
    <row r="65" spans="1:5" x14ac:dyDescent="0.35">
      <c r="A65" s="88">
        <v>591</v>
      </c>
      <c r="B65" s="89" t="s">
        <v>301</v>
      </c>
      <c r="C65" s="88">
        <v>591</v>
      </c>
      <c r="D65" s="89" t="s">
        <v>282</v>
      </c>
      <c r="E65" t="s">
        <v>747</v>
      </c>
    </row>
    <row r="66" spans="1:5" x14ac:dyDescent="0.35">
      <c r="A66" s="88">
        <v>490</v>
      </c>
      <c r="B66" s="89" t="s">
        <v>302</v>
      </c>
      <c r="C66" s="88">
        <v>490</v>
      </c>
      <c r="D66" s="89" t="s">
        <v>282</v>
      </c>
      <c r="E66" t="s">
        <v>747</v>
      </c>
    </row>
    <row r="67" spans="1:5" x14ac:dyDescent="0.35">
      <c r="A67" s="88">
        <v>321</v>
      </c>
      <c r="B67" s="89" t="s">
        <v>303</v>
      </c>
      <c r="C67" s="88">
        <v>321</v>
      </c>
      <c r="D67" s="89" t="s">
        <v>282</v>
      </c>
      <c r="E67" t="s">
        <v>747</v>
      </c>
    </row>
    <row r="68" spans="1:5" x14ac:dyDescent="0.35">
      <c r="A68" s="88">
        <v>713</v>
      </c>
      <c r="B68" s="89" t="s">
        <v>304</v>
      </c>
      <c r="C68" s="88">
        <v>713</v>
      </c>
      <c r="D68" s="89" t="s">
        <v>282</v>
      </c>
      <c r="E68" t="s">
        <v>747</v>
      </c>
    </row>
    <row r="69" spans="1:5" x14ac:dyDescent="0.35">
      <c r="A69" s="88">
        <v>554</v>
      </c>
      <c r="B69" s="89" t="s">
        <v>305</v>
      </c>
      <c r="C69" s="88">
        <v>554</v>
      </c>
      <c r="D69" s="89" t="s">
        <v>282</v>
      </c>
      <c r="E69" t="s">
        <v>747</v>
      </c>
    </row>
    <row r="70" spans="1:5" x14ac:dyDescent="0.35">
      <c r="A70" s="88">
        <v>481</v>
      </c>
      <c r="B70" s="89" t="s">
        <v>306</v>
      </c>
      <c r="C70" s="88">
        <v>481</v>
      </c>
      <c r="D70" s="89" t="s">
        <v>282</v>
      </c>
      <c r="E70" t="s">
        <v>747</v>
      </c>
    </row>
    <row r="71" spans="1:5" x14ac:dyDescent="0.35">
      <c r="A71" s="88">
        <v>678</v>
      </c>
      <c r="B71" s="89" t="s">
        <v>307</v>
      </c>
      <c r="C71" s="88">
        <v>678</v>
      </c>
      <c r="D71" s="89" t="s">
        <v>282</v>
      </c>
      <c r="E71" t="s">
        <v>747</v>
      </c>
    </row>
    <row r="72" spans="1:5" x14ac:dyDescent="0.35">
      <c r="A72" s="88">
        <v>548</v>
      </c>
      <c r="B72" s="89" t="s">
        <v>308</v>
      </c>
      <c r="C72" s="88">
        <v>548</v>
      </c>
      <c r="D72" s="89" t="s">
        <v>282</v>
      </c>
      <c r="E72" t="s">
        <v>747</v>
      </c>
    </row>
    <row r="73" spans="1:5" x14ac:dyDescent="0.35">
      <c r="A73" s="88">
        <v>639</v>
      </c>
      <c r="B73" s="89" t="s">
        <v>309</v>
      </c>
      <c r="C73" s="88">
        <v>639</v>
      </c>
      <c r="D73" s="89" t="s">
        <v>282</v>
      </c>
      <c r="E73" t="s">
        <v>747</v>
      </c>
    </row>
    <row r="74" spans="1:5" x14ac:dyDescent="0.35">
      <c r="A74" s="88">
        <v>220</v>
      </c>
      <c r="B74" s="89" t="s">
        <v>310</v>
      </c>
      <c r="C74" s="88">
        <v>220</v>
      </c>
      <c r="D74" s="89" t="s">
        <v>282</v>
      </c>
      <c r="E74" t="s">
        <v>747</v>
      </c>
    </row>
    <row r="75" spans="1:5" x14ac:dyDescent="0.35">
      <c r="A75" s="88">
        <v>550</v>
      </c>
      <c r="B75" s="89" t="s">
        <v>311</v>
      </c>
      <c r="C75" s="88">
        <v>550</v>
      </c>
      <c r="D75" s="89" t="s">
        <v>282</v>
      </c>
      <c r="E75" t="s">
        <v>747</v>
      </c>
    </row>
    <row r="76" spans="1:5" x14ac:dyDescent="0.35">
      <c r="A76" s="90"/>
      <c r="B76" s="89" t="s">
        <v>312</v>
      </c>
      <c r="C76" s="90"/>
      <c r="D76" s="89" t="s">
        <v>279</v>
      </c>
      <c r="E76" t="s">
        <v>747</v>
      </c>
    </row>
    <row r="77" spans="1:5" x14ac:dyDescent="0.35">
      <c r="A77" s="88">
        <v>47</v>
      </c>
      <c r="B77" s="89" t="s">
        <v>313</v>
      </c>
      <c r="C77" s="88">
        <v>47</v>
      </c>
      <c r="D77" s="89" t="s">
        <v>282</v>
      </c>
      <c r="E77" t="s">
        <v>747</v>
      </c>
    </row>
    <row r="78" spans="1:5" x14ac:dyDescent="0.35">
      <c r="A78" s="88">
        <v>225</v>
      </c>
      <c r="B78" s="89" t="s">
        <v>314</v>
      </c>
      <c r="C78" s="88">
        <v>225</v>
      </c>
      <c r="D78" s="89" t="s">
        <v>282</v>
      </c>
      <c r="E78" t="s">
        <v>747</v>
      </c>
    </row>
    <row r="79" spans="1:5" x14ac:dyDescent="0.35">
      <c r="A79" s="90"/>
      <c r="B79" s="89" t="s">
        <v>315</v>
      </c>
      <c r="C79" s="90"/>
      <c r="D79" s="89" t="s">
        <v>279</v>
      </c>
      <c r="E79" t="s">
        <v>747</v>
      </c>
    </row>
    <row r="80" spans="1:5" x14ac:dyDescent="0.35">
      <c r="A80" s="88">
        <v>197</v>
      </c>
      <c r="B80" s="89" t="s">
        <v>316</v>
      </c>
      <c r="C80" s="88">
        <v>197</v>
      </c>
      <c r="D80" s="89" t="s">
        <v>282</v>
      </c>
      <c r="E80" t="s">
        <v>747</v>
      </c>
    </row>
    <row r="81" spans="1:5" x14ac:dyDescent="0.35">
      <c r="A81" s="88">
        <v>562</v>
      </c>
      <c r="B81" s="89" t="s">
        <v>317</v>
      </c>
      <c r="C81" s="88">
        <v>562</v>
      </c>
      <c r="D81" s="89" t="s">
        <v>282</v>
      </c>
      <c r="E81" t="s">
        <v>747</v>
      </c>
    </row>
    <row r="82" spans="1:5" x14ac:dyDescent="0.35">
      <c r="A82" s="88">
        <v>21</v>
      </c>
      <c r="B82" s="89" t="s">
        <v>318</v>
      </c>
      <c r="C82" s="88">
        <v>21</v>
      </c>
      <c r="D82" s="89" t="s">
        <v>282</v>
      </c>
      <c r="E82" t="s">
        <v>747</v>
      </c>
    </row>
    <row r="83" spans="1:5" x14ac:dyDescent="0.35">
      <c r="A83" s="88">
        <v>739</v>
      </c>
      <c r="B83" s="89" t="s">
        <v>319</v>
      </c>
      <c r="C83" s="88">
        <v>739</v>
      </c>
      <c r="D83" s="89" t="s">
        <v>282</v>
      </c>
      <c r="E83" t="s">
        <v>747</v>
      </c>
    </row>
    <row r="84" spans="1:5" x14ac:dyDescent="0.35">
      <c r="A84" s="88">
        <v>597</v>
      </c>
      <c r="B84" s="89" t="s">
        <v>320</v>
      </c>
      <c r="C84" s="88">
        <v>597</v>
      </c>
      <c r="D84" s="89" t="s">
        <v>282</v>
      </c>
      <c r="E84" t="s">
        <v>747</v>
      </c>
    </row>
    <row r="85" spans="1:5" x14ac:dyDescent="0.35">
      <c r="A85" s="90"/>
      <c r="B85" s="89" t="s">
        <v>321</v>
      </c>
      <c r="C85" s="90"/>
      <c r="D85" s="89" t="s">
        <v>279</v>
      </c>
      <c r="E85" t="s">
        <v>747</v>
      </c>
    </row>
    <row r="86" spans="1:5" x14ac:dyDescent="0.35">
      <c r="A86" s="88">
        <v>227</v>
      </c>
      <c r="B86" s="89" t="s">
        <v>322</v>
      </c>
      <c r="C86" s="88">
        <v>227</v>
      </c>
      <c r="D86" s="89" t="s">
        <v>282</v>
      </c>
      <c r="E86" t="s">
        <v>747</v>
      </c>
    </row>
    <row r="87" spans="1:5" x14ac:dyDescent="0.35">
      <c r="A87" s="90"/>
      <c r="B87" s="89" t="s">
        <v>323</v>
      </c>
      <c r="C87" s="90"/>
      <c r="D87" s="89" t="s">
        <v>279</v>
      </c>
      <c r="E87" t="s">
        <v>747</v>
      </c>
    </row>
    <row r="88" spans="1:5" x14ac:dyDescent="0.35">
      <c r="A88" s="88">
        <v>677</v>
      </c>
      <c r="B88" s="89" t="s">
        <v>324</v>
      </c>
      <c r="C88" s="88">
        <v>677</v>
      </c>
      <c r="D88" s="89" t="s">
        <v>282</v>
      </c>
      <c r="E88" t="s">
        <v>747</v>
      </c>
    </row>
    <row r="89" spans="1:5" x14ac:dyDescent="0.35">
      <c r="A89" s="88">
        <v>93</v>
      </c>
      <c r="B89" s="89" t="s">
        <v>325</v>
      </c>
      <c r="C89" s="88">
        <v>93</v>
      </c>
      <c r="D89" s="89" t="s">
        <v>282</v>
      </c>
      <c r="E89" t="s">
        <v>747</v>
      </c>
    </row>
    <row r="90" spans="1:5" x14ac:dyDescent="0.35">
      <c r="A90" s="88">
        <v>616</v>
      </c>
      <c r="B90" s="89" t="s">
        <v>326</v>
      </c>
      <c r="C90" s="88">
        <v>616</v>
      </c>
      <c r="D90" s="89" t="s">
        <v>282</v>
      </c>
      <c r="E90" t="s">
        <v>747</v>
      </c>
    </row>
    <row r="91" spans="1:5" x14ac:dyDescent="0.35">
      <c r="A91" s="88">
        <v>102</v>
      </c>
      <c r="B91" s="89" t="s">
        <v>327</v>
      </c>
      <c r="C91" s="88">
        <v>102</v>
      </c>
      <c r="D91" s="89" t="s">
        <v>282</v>
      </c>
      <c r="E91" t="s">
        <v>747</v>
      </c>
    </row>
    <row r="92" spans="1:5" x14ac:dyDescent="0.35">
      <c r="A92" s="88">
        <v>592</v>
      </c>
      <c r="B92" s="89" t="s">
        <v>328</v>
      </c>
      <c r="C92" s="88">
        <v>592</v>
      </c>
      <c r="D92" s="89" t="s">
        <v>282</v>
      </c>
      <c r="E92" t="s">
        <v>747</v>
      </c>
    </row>
    <row r="93" spans="1:5" x14ac:dyDescent="0.35">
      <c r="A93" s="88">
        <v>394</v>
      </c>
      <c r="B93" s="89" t="s">
        <v>329</v>
      </c>
      <c r="C93" s="88">
        <v>394</v>
      </c>
      <c r="D93" s="89" t="s">
        <v>282</v>
      </c>
      <c r="E93" t="s">
        <v>747</v>
      </c>
    </row>
    <row r="94" spans="1:5" x14ac:dyDescent="0.35">
      <c r="A94" s="88">
        <v>208</v>
      </c>
      <c r="B94" s="89" t="s">
        <v>330</v>
      </c>
      <c r="C94" s="88">
        <v>208</v>
      </c>
      <c r="D94" s="89" t="s">
        <v>282</v>
      </c>
      <c r="E94" t="s">
        <v>747</v>
      </c>
    </row>
    <row r="95" spans="1:5" x14ac:dyDescent="0.35">
      <c r="A95" s="88">
        <v>347</v>
      </c>
      <c r="B95" s="89" t="s">
        <v>331</v>
      </c>
      <c r="C95" s="88">
        <v>347</v>
      </c>
      <c r="D95" s="89" t="s">
        <v>282</v>
      </c>
      <c r="E95" t="s">
        <v>747</v>
      </c>
    </row>
    <row r="96" spans="1:5" x14ac:dyDescent="0.35">
      <c r="A96" s="90"/>
      <c r="B96" s="89" t="s">
        <v>332</v>
      </c>
      <c r="C96" s="90"/>
      <c r="D96" s="89" t="s">
        <v>279</v>
      </c>
      <c r="E96" t="s">
        <v>747</v>
      </c>
    </row>
    <row r="97" spans="1:5" x14ac:dyDescent="0.35">
      <c r="A97" s="88">
        <v>589</v>
      </c>
      <c r="B97" s="89" t="s">
        <v>333</v>
      </c>
      <c r="C97" s="88">
        <v>589</v>
      </c>
      <c r="D97" s="89" t="s">
        <v>282</v>
      </c>
      <c r="E97" t="s">
        <v>747</v>
      </c>
    </row>
    <row r="98" spans="1:5" x14ac:dyDescent="0.35">
      <c r="A98" s="88">
        <v>598</v>
      </c>
      <c r="B98" s="89" t="s">
        <v>334</v>
      </c>
      <c r="C98" s="88">
        <v>598</v>
      </c>
      <c r="D98" s="89" t="s">
        <v>282</v>
      </c>
      <c r="E98" t="s">
        <v>747</v>
      </c>
    </row>
    <row r="99" spans="1:5" x14ac:dyDescent="0.35">
      <c r="A99" s="90"/>
      <c r="B99" s="89" t="s">
        <v>335</v>
      </c>
      <c r="C99" s="90"/>
      <c r="D99" s="89" t="s">
        <v>279</v>
      </c>
      <c r="E99" t="s">
        <v>747</v>
      </c>
    </row>
    <row r="100" spans="1:5" x14ac:dyDescent="0.35">
      <c r="A100" s="88">
        <v>87</v>
      </c>
      <c r="B100" s="89" t="s">
        <v>336</v>
      </c>
      <c r="C100" s="88">
        <v>87</v>
      </c>
      <c r="D100" s="89" t="s">
        <v>236</v>
      </c>
      <c r="E100" t="s">
        <v>747</v>
      </c>
    </row>
    <row r="101" spans="1:5" x14ac:dyDescent="0.35">
      <c r="A101" s="88">
        <v>23</v>
      </c>
      <c r="B101" s="89" t="s">
        <v>337</v>
      </c>
      <c r="C101" s="88">
        <v>23</v>
      </c>
      <c r="D101" s="89" t="s">
        <v>236</v>
      </c>
      <c r="E101">
        <v>23</v>
      </c>
    </row>
    <row r="102" spans="1:5" x14ac:dyDescent="0.35">
      <c r="A102" s="88">
        <v>208</v>
      </c>
      <c r="B102" s="89" t="s">
        <v>338</v>
      </c>
      <c r="C102" s="88">
        <v>208</v>
      </c>
      <c r="D102" s="89" t="s">
        <v>236</v>
      </c>
      <c r="E102" t="s">
        <v>747</v>
      </c>
    </row>
    <row r="103" spans="1:5" x14ac:dyDescent="0.35">
      <c r="A103" s="88">
        <v>221</v>
      </c>
      <c r="B103" s="89" t="s">
        <v>339</v>
      </c>
      <c r="C103" s="88">
        <v>221</v>
      </c>
      <c r="D103" s="89" t="s">
        <v>236</v>
      </c>
      <c r="E103" t="s">
        <v>747</v>
      </c>
    </row>
    <row r="104" spans="1:5" x14ac:dyDescent="0.35">
      <c r="A104" s="88">
        <v>17</v>
      </c>
      <c r="B104" s="89" t="s">
        <v>340</v>
      </c>
      <c r="C104" s="88">
        <v>17</v>
      </c>
      <c r="D104" s="89" t="s">
        <v>236</v>
      </c>
      <c r="E104">
        <v>17</v>
      </c>
    </row>
    <row r="105" spans="1:5" x14ac:dyDescent="0.35">
      <c r="A105" s="88">
        <v>153</v>
      </c>
      <c r="B105" s="89" t="s">
        <v>341</v>
      </c>
      <c r="C105" s="88">
        <v>153</v>
      </c>
      <c r="D105" s="89" t="s">
        <v>236</v>
      </c>
      <c r="E105" t="s">
        <v>747</v>
      </c>
    </row>
    <row r="106" spans="1:5" x14ac:dyDescent="0.35">
      <c r="A106" s="88">
        <v>70</v>
      </c>
      <c r="B106" s="89" t="s">
        <v>342</v>
      </c>
      <c r="C106" s="88">
        <v>70</v>
      </c>
      <c r="D106" s="89" t="s">
        <v>236</v>
      </c>
      <c r="E106">
        <v>70</v>
      </c>
    </row>
    <row r="107" spans="1:5" x14ac:dyDescent="0.35">
      <c r="A107" s="88">
        <v>89</v>
      </c>
      <c r="B107" s="89" t="s">
        <v>343</v>
      </c>
      <c r="C107" s="88">
        <v>89</v>
      </c>
      <c r="D107" s="89" t="s">
        <v>236</v>
      </c>
      <c r="E107" t="s">
        <v>747</v>
      </c>
    </row>
    <row r="108" spans="1:5" x14ac:dyDescent="0.35">
      <c r="A108" s="88">
        <v>169</v>
      </c>
      <c r="B108" s="89" t="s">
        <v>344</v>
      </c>
      <c r="C108" s="88">
        <v>169</v>
      </c>
      <c r="D108" s="89" t="s">
        <v>236</v>
      </c>
      <c r="E108" t="s">
        <v>747</v>
      </c>
    </row>
    <row r="109" spans="1:5" x14ac:dyDescent="0.35">
      <c r="A109" s="88">
        <v>161</v>
      </c>
      <c r="B109" s="89" t="s">
        <v>345</v>
      </c>
      <c r="C109" s="88">
        <v>161</v>
      </c>
      <c r="D109" s="89" t="s">
        <v>236</v>
      </c>
      <c r="E109" t="s">
        <v>747</v>
      </c>
    </row>
    <row r="110" spans="1:5" x14ac:dyDescent="0.35">
      <c r="A110" s="88">
        <v>94</v>
      </c>
      <c r="B110" s="89" t="s">
        <v>346</v>
      </c>
      <c r="C110" s="88">
        <v>94</v>
      </c>
      <c r="D110" s="89" t="s">
        <v>236</v>
      </c>
      <c r="E110" t="s">
        <v>747</v>
      </c>
    </row>
    <row r="111" spans="1:5" x14ac:dyDescent="0.35">
      <c r="A111" s="88">
        <v>72</v>
      </c>
      <c r="B111" s="89" t="s">
        <v>347</v>
      </c>
      <c r="C111" s="88">
        <v>72</v>
      </c>
      <c r="D111" s="89" t="s">
        <v>236</v>
      </c>
      <c r="E111" t="s">
        <v>747</v>
      </c>
    </row>
    <row r="112" spans="1:5" x14ac:dyDescent="0.35">
      <c r="A112" s="88">
        <v>244</v>
      </c>
      <c r="B112" s="89" t="s">
        <v>348</v>
      </c>
      <c r="C112" s="88">
        <v>244</v>
      </c>
      <c r="D112" s="89" t="s">
        <v>236</v>
      </c>
      <c r="E112" t="s">
        <v>747</v>
      </c>
    </row>
    <row r="113" spans="1:5" x14ac:dyDescent="0.35">
      <c r="A113" s="88">
        <v>231</v>
      </c>
      <c r="B113" s="89" t="s">
        <v>349</v>
      </c>
      <c r="C113" s="88">
        <v>231</v>
      </c>
      <c r="D113" s="89" t="s">
        <v>236</v>
      </c>
      <c r="E113" t="s">
        <v>747</v>
      </c>
    </row>
    <row r="114" spans="1:5" x14ac:dyDescent="0.35">
      <c r="A114" s="88">
        <v>171</v>
      </c>
      <c r="B114" s="89" t="s">
        <v>350</v>
      </c>
      <c r="C114" s="88">
        <v>171</v>
      </c>
      <c r="D114" s="89" t="s">
        <v>236</v>
      </c>
      <c r="E114" t="s">
        <v>747</v>
      </c>
    </row>
    <row r="115" spans="1:5" x14ac:dyDescent="0.35">
      <c r="A115" s="88">
        <v>120</v>
      </c>
      <c r="B115" s="89" t="s">
        <v>351</v>
      </c>
      <c r="C115" s="88">
        <v>120</v>
      </c>
      <c r="D115" s="89" t="s">
        <v>236</v>
      </c>
      <c r="E115" t="s">
        <v>747</v>
      </c>
    </row>
    <row r="116" spans="1:5" x14ac:dyDescent="0.35">
      <c r="A116" s="88">
        <v>92</v>
      </c>
      <c r="B116" s="89" t="s">
        <v>352</v>
      </c>
      <c r="C116" s="88">
        <v>92</v>
      </c>
      <c r="D116" s="89" t="s">
        <v>236</v>
      </c>
      <c r="E116" t="s">
        <v>747</v>
      </c>
    </row>
    <row r="117" spans="1:5" x14ac:dyDescent="0.35">
      <c r="A117" s="88">
        <v>160</v>
      </c>
      <c r="B117" s="89" t="s">
        <v>353</v>
      </c>
      <c r="C117" s="88">
        <v>160</v>
      </c>
      <c r="D117" s="89" t="s">
        <v>236</v>
      </c>
      <c r="E117" t="s">
        <v>747</v>
      </c>
    </row>
    <row r="118" spans="1:5" x14ac:dyDescent="0.35">
      <c r="A118" s="88">
        <v>319</v>
      </c>
      <c r="B118" s="89" t="s">
        <v>354</v>
      </c>
      <c r="C118" s="88">
        <v>319</v>
      </c>
      <c r="D118" s="89" t="s">
        <v>236</v>
      </c>
      <c r="E118" t="s">
        <v>747</v>
      </c>
    </row>
    <row r="119" spans="1:5" x14ac:dyDescent="0.35">
      <c r="A119" s="88">
        <v>80</v>
      </c>
      <c r="B119" s="89" t="s">
        <v>355</v>
      </c>
      <c r="C119" s="88">
        <v>80</v>
      </c>
      <c r="D119" s="89" t="s">
        <v>236</v>
      </c>
      <c r="E119" t="s">
        <v>747</v>
      </c>
    </row>
    <row r="120" spans="1:5" x14ac:dyDescent="0.35">
      <c r="A120" s="88">
        <v>90</v>
      </c>
      <c r="B120" s="89" t="s">
        <v>356</v>
      </c>
      <c r="C120" s="88">
        <v>90</v>
      </c>
      <c r="D120" s="89" t="s">
        <v>236</v>
      </c>
      <c r="E120" t="s">
        <v>747</v>
      </c>
    </row>
    <row r="121" spans="1:5" x14ac:dyDescent="0.35">
      <c r="A121" s="88">
        <v>248</v>
      </c>
      <c r="B121" s="89" t="s">
        <v>357</v>
      </c>
      <c r="C121" s="88">
        <v>248</v>
      </c>
      <c r="D121" s="89" t="s">
        <v>236</v>
      </c>
      <c r="E121" t="s">
        <v>747</v>
      </c>
    </row>
    <row r="122" spans="1:5" x14ac:dyDescent="0.35">
      <c r="A122" s="88">
        <v>192</v>
      </c>
      <c r="B122" s="89" t="s">
        <v>358</v>
      </c>
      <c r="C122" s="88">
        <v>192</v>
      </c>
      <c r="D122" s="89" t="s">
        <v>236</v>
      </c>
      <c r="E122" t="s">
        <v>747</v>
      </c>
    </row>
    <row r="123" spans="1:5" x14ac:dyDescent="0.35">
      <c r="A123" s="88">
        <v>215</v>
      </c>
      <c r="B123" s="89" t="s">
        <v>359</v>
      </c>
      <c r="C123" s="88">
        <v>215</v>
      </c>
      <c r="D123" s="89" t="s">
        <v>236</v>
      </c>
      <c r="E123" t="s">
        <v>747</v>
      </c>
    </row>
    <row r="124" spans="1:5" x14ac:dyDescent="0.35">
      <c r="A124" s="88">
        <v>49</v>
      </c>
      <c r="B124" s="89" t="s">
        <v>360</v>
      </c>
      <c r="C124" s="88">
        <v>49</v>
      </c>
      <c r="D124" s="89" t="s">
        <v>236</v>
      </c>
      <c r="E124" t="s">
        <v>747</v>
      </c>
    </row>
    <row r="125" spans="1:5" x14ac:dyDescent="0.35">
      <c r="A125" s="88">
        <v>194</v>
      </c>
      <c r="B125" s="89" t="s">
        <v>361</v>
      </c>
      <c r="C125" s="88">
        <v>194</v>
      </c>
      <c r="D125" s="89" t="s">
        <v>236</v>
      </c>
      <c r="E125" t="s">
        <v>747</v>
      </c>
    </row>
    <row r="126" spans="1:5" x14ac:dyDescent="0.35">
      <c r="A126" s="88">
        <v>206</v>
      </c>
      <c r="B126" s="89" t="s">
        <v>362</v>
      </c>
      <c r="C126" s="88">
        <v>206</v>
      </c>
      <c r="D126" s="89" t="s">
        <v>236</v>
      </c>
      <c r="E126" t="s">
        <v>747</v>
      </c>
    </row>
    <row r="127" spans="1:5" x14ac:dyDescent="0.35">
      <c r="A127" s="88">
        <v>203</v>
      </c>
      <c r="B127" s="89" t="s">
        <v>363</v>
      </c>
      <c r="C127" s="88">
        <v>203</v>
      </c>
      <c r="D127" s="89" t="s">
        <v>236</v>
      </c>
      <c r="E127" t="s">
        <v>747</v>
      </c>
    </row>
    <row r="128" spans="1:5" x14ac:dyDescent="0.35">
      <c r="A128" s="88">
        <v>262</v>
      </c>
      <c r="B128" s="89" t="s">
        <v>364</v>
      </c>
      <c r="C128" s="88">
        <v>262</v>
      </c>
      <c r="D128" s="89" t="s">
        <v>236</v>
      </c>
      <c r="E128" t="s">
        <v>747</v>
      </c>
    </row>
    <row r="129" spans="1:5" x14ac:dyDescent="0.35">
      <c r="A129" s="88">
        <v>222</v>
      </c>
      <c r="B129" s="89" t="s">
        <v>365</v>
      </c>
      <c r="C129" s="88">
        <v>222</v>
      </c>
      <c r="D129" s="89" t="s">
        <v>236</v>
      </c>
      <c r="E129">
        <v>222</v>
      </c>
    </row>
    <row r="130" spans="1:5" x14ac:dyDescent="0.35">
      <c r="A130" s="88">
        <v>295</v>
      </c>
      <c r="B130" s="89" t="s">
        <v>366</v>
      </c>
      <c r="C130" s="88">
        <v>295</v>
      </c>
      <c r="D130" s="89" t="s">
        <v>236</v>
      </c>
      <c r="E130" t="s">
        <v>747</v>
      </c>
    </row>
    <row r="131" spans="1:5" x14ac:dyDescent="0.35">
      <c r="A131" s="88">
        <v>211</v>
      </c>
      <c r="B131" s="89" t="s">
        <v>367</v>
      </c>
      <c r="C131" s="88">
        <v>211</v>
      </c>
      <c r="D131" s="89" t="s">
        <v>236</v>
      </c>
      <c r="E131" t="s">
        <v>747</v>
      </c>
    </row>
    <row r="132" spans="1:5" x14ac:dyDescent="0.35">
      <c r="A132" s="88">
        <v>309</v>
      </c>
      <c r="B132" s="89" t="s">
        <v>368</v>
      </c>
      <c r="C132" s="88">
        <v>309</v>
      </c>
      <c r="D132" s="89" t="s">
        <v>236</v>
      </c>
      <c r="E132" t="s">
        <v>747</v>
      </c>
    </row>
    <row r="133" spans="1:5" x14ac:dyDescent="0.35">
      <c r="A133" s="88">
        <v>55</v>
      </c>
      <c r="B133" s="89" t="s">
        <v>369</v>
      </c>
      <c r="C133" s="88">
        <v>55</v>
      </c>
      <c r="D133" s="89" t="s">
        <v>236</v>
      </c>
      <c r="E133" t="s">
        <v>747</v>
      </c>
    </row>
    <row r="134" spans="1:5" x14ac:dyDescent="0.35">
      <c r="A134" s="88">
        <v>77</v>
      </c>
      <c r="B134" s="89" t="s">
        <v>370</v>
      </c>
      <c r="C134" s="88">
        <v>77</v>
      </c>
      <c r="D134" s="89" t="s">
        <v>236</v>
      </c>
      <c r="E134" t="s">
        <v>747</v>
      </c>
    </row>
    <row r="135" spans="1:5" x14ac:dyDescent="0.35">
      <c r="A135" s="88">
        <v>93</v>
      </c>
      <c r="B135" s="89" t="s">
        <v>371</v>
      </c>
      <c r="C135" s="88">
        <v>93</v>
      </c>
      <c r="D135" s="89" t="s">
        <v>236</v>
      </c>
      <c r="E135" t="s">
        <v>747</v>
      </c>
    </row>
    <row r="136" spans="1:5" x14ac:dyDescent="0.35">
      <c r="A136" s="88">
        <v>227</v>
      </c>
      <c r="B136" s="89" t="s">
        <v>372</v>
      </c>
      <c r="C136" s="88">
        <v>227</v>
      </c>
      <c r="D136" s="89" t="s">
        <v>236</v>
      </c>
      <c r="E136" t="s">
        <v>747</v>
      </c>
    </row>
    <row r="137" spans="1:5" x14ac:dyDescent="0.35">
      <c r="A137" s="88">
        <v>254</v>
      </c>
      <c r="B137" s="89" t="s">
        <v>373</v>
      </c>
      <c r="C137" s="88">
        <v>254</v>
      </c>
      <c r="D137" s="89" t="s">
        <v>236</v>
      </c>
      <c r="E137" t="s">
        <v>747</v>
      </c>
    </row>
    <row r="138" spans="1:5" x14ac:dyDescent="0.35">
      <c r="A138" s="88">
        <v>158</v>
      </c>
      <c r="B138" s="89" t="s">
        <v>374</v>
      </c>
      <c r="C138" s="88">
        <v>158</v>
      </c>
      <c r="D138" s="89" t="s">
        <v>236</v>
      </c>
      <c r="E138" t="s">
        <v>747</v>
      </c>
    </row>
    <row r="139" spans="1:5" x14ac:dyDescent="0.35">
      <c r="A139" s="88">
        <v>243</v>
      </c>
      <c r="B139" s="89" t="s">
        <v>375</v>
      </c>
      <c r="C139" s="88">
        <v>243</v>
      </c>
      <c r="D139" s="89" t="s">
        <v>236</v>
      </c>
      <c r="E139" t="s">
        <v>747</v>
      </c>
    </row>
    <row r="140" spans="1:5" x14ac:dyDescent="0.35">
      <c r="A140" s="88">
        <v>299</v>
      </c>
      <c r="B140" s="89" t="s">
        <v>376</v>
      </c>
      <c r="C140" s="88">
        <v>299</v>
      </c>
      <c r="D140" s="89" t="s">
        <v>236</v>
      </c>
      <c r="E140" t="s">
        <v>747</v>
      </c>
    </row>
    <row r="141" spans="1:5" x14ac:dyDescent="0.35">
      <c r="A141" s="88">
        <v>121</v>
      </c>
      <c r="B141" s="89" t="s">
        <v>377</v>
      </c>
      <c r="C141" s="88">
        <v>121</v>
      </c>
      <c r="D141" s="89" t="s">
        <v>236</v>
      </c>
      <c r="E141" t="s">
        <v>747</v>
      </c>
    </row>
    <row r="142" spans="1:5" x14ac:dyDescent="0.35">
      <c r="A142" s="88">
        <v>154</v>
      </c>
      <c r="B142" s="89" t="s">
        <v>378</v>
      </c>
      <c r="C142" s="88">
        <v>154</v>
      </c>
      <c r="D142" s="89" t="s">
        <v>236</v>
      </c>
      <c r="E142" t="s">
        <v>747</v>
      </c>
    </row>
    <row r="143" spans="1:5" x14ac:dyDescent="0.35">
      <c r="A143" s="88">
        <v>224</v>
      </c>
      <c r="B143" s="89" t="s">
        <v>379</v>
      </c>
      <c r="C143" s="88">
        <v>224</v>
      </c>
      <c r="D143" s="89" t="s">
        <v>236</v>
      </c>
      <c r="E143" t="s">
        <v>747</v>
      </c>
    </row>
    <row r="144" spans="1:5" x14ac:dyDescent="0.35">
      <c r="A144" s="88">
        <v>176</v>
      </c>
      <c r="B144" s="89" t="s">
        <v>380</v>
      </c>
      <c r="C144" s="88">
        <v>176</v>
      </c>
      <c r="D144" s="89" t="s">
        <v>236</v>
      </c>
      <c r="E144" t="s">
        <v>747</v>
      </c>
    </row>
    <row r="145" spans="1:5" x14ac:dyDescent="0.35">
      <c r="A145" s="88">
        <v>200</v>
      </c>
      <c r="B145" s="89" t="s">
        <v>381</v>
      </c>
      <c r="C145" s="88">
        <v>200</v>
      </c>
      <c r="D145" s="89" t="s">
        <v>236</v>
      </c>
      <c r="E145" t="s">
        <v>747</v>
      </c>
    </row>
    <row r="146" spans="1:5" x14ac:dyDescent="0.35">
      <c r="A146" s="88">
        <v>307</v>
      </c>
      <c r="B146" s="89" t="s">
        <v>382</v>
      </c>
      <c r="C146" s="88">
        <v>307</v>
      </c>
      <c r="D146" s="89" t="s">
        <v>236</v>
      </c>
      <c r="E146">
        <v>307</v>
      </c>
    </row>
    <row r="147" spans="1:5" x14ac:dyDescent="0.35">
      <c r="A147" s="88">
        <v>109</v>
      </c>
      <c r="B147" s="89" t="s">
        <v>383</v>
      </c>
      <c r="C147" s="88">
        <v>109</v>
      </c>
      <c r="D147" s="89" t="s">
        <v>236</v>
      </c>
      <c r="E147" t="s">
        <v>747</v>
      </c>
    </row>
    <row r="148" spans="1:5" x14ac:dyDescent="0.35">
      <c r="A148" s="88">
        <v>103</v>
      </c>
      <c r="B148" s="89" t="s">
        <v>384</v>
      </c>
      <c r="C148" s="88">
        <v>103</v>
      </c>
      <c r="D148" s="89" t="s">
        <v>236</v>
      </c>
      <c r="E148" t="s">
        <v>747</v>
      </c>
    </row>
    <row r="149" spans="1:5" x14ac:dyDescent="0.35">
      <c r="A149" s="88">
        <v>134</v>
      </c>
      <c r="B149" s="89" t="s">
        <v>385</v>
      </c>
      <c r="C149" s="88">
        <v>134</v>
      </c>
      <c r="D149" s="89" t="s">
        <v>236</v>
      </c>
      <c r="E149" t="s">
        <v>747</v>
      </c>
    </row>
    <row r="150" spans="1:5" x14ac:dyDescent="0.35">
      <c r="A150" s="88">
        <v>68</v>
      </c>
      <c r="B150" s="89" t="s">
        <v>386</v>
      </c>
      <c r="C150" s="88">
        <v>68</v>
      </c>
      <c r="D150" s="89" t="s">
        <v>236</v>
      </c>
      <c r="E150" t="s">
        <v>747</v>
      </c>
    </row>
    <row r="151" spans="1:5" x14ac:dyDescent="0.35">
      <c r="A151" s="88">
        <v>143</v>
      </c>
      <c r="B151" s="89" t="s">
        <v>387</v>
      </c>
      <c r="C151" s="88">
        <v>143</v>
      </c>
      <c r="D151" s="89" t="s">
        <v>236</v>
      </c>
      <c r="E151" t="s">
        <v>747</v>
      </c>
    </row>
    <row r="152" spans="1:5" x14ac:dyDescent="0.35">
      <c r="A152" s="88">
        <v>193</v>
      </c>
      <c r="B152" s="89" t="s">
        <v>388</v>
      </c>
      <c r="C152" s="88">
        <v>193</v>
      </c>
      <c r="D152" s="89" t="s">
        <v>236</v>
      </c>
      <c r="E152" t="s">
        <v>747</v>
      </c>
    </row>
    <row r="153" spans="1:5" x14ac:dyDescent="0.35">
      <c r="A153" s="88">
        <v>266</v>
      </c>
      <c r="B153" s="89" t="s">
        <v>389</v>
      </c>
      <c r="C153" s="88">
        <v>266</v>
      </c>
      <c r="D153" s="89" t="s">
        <v>236</v>
      </c>
      <c r="E153" t="s">
        <v>747</v>
      </c>
    </row>
    <row r="154" spans="1:5" x14ac:dyDescent="0.35">
      <c r="A154" s="88">
        <v>166</v>
      </c>
      <c r="B154" s="89" t="s">
        <v>390</v>
      </c>
      <c r="C154" s="88">
        <v>166</v>
      </c>
      <c r="D154" s="89" t="s">
        <v>236</v>
      </c>
      <c r="E154" t="s">
        <v>747</v>
      </c>
    </row>
    <row r="155" spans="1:5" x14ac:dyDescent="0.35">
      <c r="A155" s="88">
        <v>144</v>
      </c>
      <c r="B155" s="89" t="s">
        <v>391</v>
      </c>
      <c r="C155" s="88">
        <v>144</v>
      </c>
      <c r="D155" s="89" t="s">
        <v>236</v>
      </c>
      <c r="E155" t="s">
        <v>747</v>
      </c>
    </row>
    <row r="156" spans="1:5" x14ac:dyDescent="0.35">
      <c r="A156" s="88">
        <v>99</v>
      </c>
      <c r="B156" s="89" t="s">
        <v>392</v>
      </c>
      <c r="C156" s="88">
        <v>99</v>
      </c>
      <c r="D156" s="89" t="s">
        <v>236</v>
      </c>
      <c r="E156" t="s">
        <v>747</v>
      </c>
    </row>
    <row r="157" spans="1:5" x14ac:dyDescent="0.35">
      <c r="A157" s="88">
        <v>67</v>
      </c>
      <c r="B157" s="89" t="s">
        <v>393</v>
      </c>
      <c r="C157" s="88">
        <v>67</v>
      </c>
      <c r="D157" s="89" t="s">
        <v>236</v>
      </c>
      <c r="E157" t="s">
        <v>747</v>
      </c>
    </row>
    <row r="158" spans="1:5" x14ac:dyDescent="0.35">
      <c r="A158" s="88">
        <v>75</v>
      </c>
      <c r="B158" s="89" t="s">
        <v>394</v>
      </c>
      <c r="C158" s="88">
        <v>75</v>
      </c>
      <c r="D158" s="89" t="s">
        <v>236</v>
      </c>
      <c r="E158" t="s">
        <v>747</v>
      </c>
    </row>
    <row r="159" spans="1:5" x14ac:dyDescent="0.35">
      <c r="A159" s="88">
        <v>21</v>
      </c>
      <c r="B159" s="89" t="s">
        <v>395</v>
      </c>
      <c r="C159" s="88">
        <v>21</v>
      </c>
      <c r="D159" s="89" t="s">
        <v>236</v>
      </c>
      <c r="E159" t="s">
        <v>747</v>
      </c>
    </row>
    <row r="160" spans="1:5" x14ac:dyDescent="0.35">
      <c r="A160" s="88">
        <v>207</v>
      </c>
      <c r="B160" s="89" t="s">
        <v>396</v>
      </c>
      <c r="C160" s="88">
        <v>207</v>
      </c>
      <c r="D160" s="89" t="s">
        <v>236</v>
      </c>
      <c r="E160" t="s">
        <v>747</v>
      </c>
    </row>
    <row r="161" spans="1:5" x14ac:dyDescent="0.35">
      <c r="A161" s="88">
        <v>173</v>
      </c>
      <c r="B161" s="89" t="s">
        <v>397</v>
      </c>
      <c r="C161" s="88">
        <v>173</v>
      </c>
      <c r="D161" s="89" t="s">
        <v>236</v>
      </c>
      <c r="E161" t="s">
        <v>747</v>
      </c>
    </row>
    <row r="162" spans="1:5" x14ac:dyDescent="0.35">
      <c r="A162" s="88">
        <v>204</v>
      </c>
      <c r="B162" s="89" t="s">
        <v>398</v>
      </c>
      <c r="C162" s="88">
        <v>204</v>
      </c>
      <c r="D162" s="89" t="s">
        <v>236</v>
      </c>
      <c r="E162" t="s">
        <v>747</v>
      </c>
    </row>
    <row r="163" spans="1:5" x14ac:dyDescent="0.35">
      <c r="A163" s="88">
        <v>298</v>
      </c>
      <c r="B163" s="89" t="s">
        <v>399</v>
      </c>
      <c r="C163" s="88">
        <v>298</v>
      </c>
      <c r="D163" s="89" t="s">
        <v>236</v>
      </c>
      <c r="E163" t="s">
        <v>747</v>
      </c>
    </row>
    <row r="164" spans="1:5" x14ac:dyDescent="0.35">
      <c r="A164" s="88">
        <v>164</v>
      </c>
      <c r="B164" s="89" t="s">
        <v>400</v>
      </c>
      <c r="C164" s="88">
        <v>164</v>
      </c>
      <c r="D164" s="89" t="s">
        <v>236</v>
      </c>
      <c r="E164" t="s">
        <v>747</v>
      </c>
    </row>
    <row r="165" spans="1:5" x14ac:dyDescent="0.35">
      <c r="A165" s="88">
        <v>197</v>
      </c>
      <c r="B165" s="89" t="s">
        <v>401</v>
      </c>
      <c r="C165" s="88">
        <v>197</v>
      </c>
      <c r="D165" s="89" t="s">
        <v>236</v>
      </c>
      <c r="E165" t="s">
        <v>747</v>
      </c>
    </row>
    <row r="166" spans="1:5" x14ac:dyDescent="0.35">
      <c r="A166" s="88">
        <v>174</v>
      </c>
      <c r="B166" s="89" t="s">
        <v>402</v>
      </c>
      <c r="C166" s="88">
        <v>174</v>
      </c>
      <c r="D166" s="89" t="s">
        <v>236</v>
      </c>
      <c r="E166" t="s">
        <v>747</v>
      </c>
    </row>
    <row r="167" spans="1:5" x14ac:dyDescent="0.35">
      <c r="A167" s="88">
        <v>249</v>
      </c>
      <c r="B167" s="89" t="s">
        <v>403</v>
      </c>
      <c r="C167" s="88">
        <v>249</v>
      </c>
      <c r="D167" s="89" t="s">
        <v>236</v>
      </c>
      <c r="E167" t="s">
        <v>747</v>
      </c>
    </row>
    <row r="168" spans="1:5" x14ac:dyDescent="0.35">
      <c r="A168" s="88">
        <v>124</v>
      </c>
      <c r="B168" s="89" t="s">
        <v>404</v>
      </c>
      <c r="C168" s="88">
        <v>124</v>
      </c>
      <c r="D168" s="89" t="s">
        <v>236</v>
      </c>
      <c r="E168" t="s">
        <v>747</v>
      </c>
    </row>
    <row r="169" spans="1:5" x14ac:dyDescent="0.35">
      <c r="A169" s="88">
        <v>125</v>
      </c>
      <c r="B169" s="89" t="s">
        <v>405</v>
      </c>
      <c r="C169" s="88">
        <v>125</v>
      </c>
      <c r="D169" s="89" t="s">
        <v>236</v>
      </c>
      <c r="E169" t="s">
        <v>747</v>
      </c>
    </row>
    <row r="170" spans="1:5" x14ac:dyDescent="0.35">
      <c r="A170" s="88">
        <v>73</v>
      </c>
      <c r="B170" s="89" t="s">
        <v>406</v>
      </c>
      <c r="C170" s="88">
        <v>73</v>
      </c>
      <c r="D170" s="89" t="s">
        <v>236</v>
      </c>
      <c r="E170" t="s">
        <v>747</v>
      </c>
    </row>
    <row r="171" spans="1:5" x14ac:dyDescent="0.35">
      <c r="A171" s="88">
        <v>135</v>
      </c>
      <c r="B171" s="89" t="s">
        <v>407</v>
      </c>
      <c r="C171" s="88">
        <v>135</v>
      </c>
      <c r="D171" s="89" t="s">
        <v>236</v>
      </c>
      <c r="E171" t="s">
        <v>747</v>
      </c>
    </row>
    <row r="172" spans="1:5" x14ac:dyDescent="0.35">
      <c r="A172" s="88">
        <v>225</v>
      </c>
      <c r="B172" s="89" t="s">
        <v>408</v>
      </c>
      <c r="C172" s="88">
        <v>225</v>
      </c>
      <c r="D172" s="89" t="s">
        <v>236</v>
      </c>
      <c r="E172">
        <v>225</v>
      </c>
    </row>
    <row r="173" spans="1:5" x14ac:dyDescent="0.35">
      <c r="A173" s="88">
        <v>133</v>
      </c>
      <c r="B173" s="89" t="s">
        <v>409</v>
      </c>
      <c r="C173" s="88">
        <v>133</v>
      </c>
      <c r="D173" s="89" t="s">
        <v>236</v>
      </c>
      <c r="E173" t="s">
        <v>747</v>
      </c>
    </row>
    <row r="174" spans="1:5" x14ac:dyDescent="0.35">
      <c r="A174" s="88">
        <v>123</v>
      </c>
      <c r="B174" s="89" t="s">
        <v>410</v>
      </c>
      <c r="C174" s="88">
        <v>123</v>
      </c>
      <c r="D174" s="89" t="s">
        <v>236</v>
      </c>
      <c r="E174" t="s">
        <v>747</v>
      </c>
    </row>
    <row r="175" spans="1:5" x14ac:dyDescent="0.35">
      <c r="A175" s="88">
        <v>268</v>
      </c>
      <c r="B175" s="89" t="s">
        <v>411</v>
      </c>
      <c r="C175" s="88">
        <v>268</v>
      </c>
      <c r="D175" s="89" t="s">
        <v>236</v>
      </c>
      <c r="E175" t="s">
        <v>747</v>
      </c>
    </row>
    <row r="176" spans="1:5" x14ac:dyDescent="0.35">
      <c r="A176" s="88">
        <v>320</v>
      </c>
      <c r="B176" s="89" t="s">
        <v>412</v>
      </c>
      <c r="C176" s="88">
        <v>320</v>
      </c>
      <c r="D176" s="89" t="s">
        <v>236</v>
      </c>
      <c r="E176" t="s">
        <v>747</v>
      </c>
    </row>
    <row r="177" spans="1:5" x14ac:dyDescent="0.35">
      <c r="A177" s="88">
        <v>253</v>
      </c>
      <c r="B177" s="89" t="s">
        <v>413</v>
      </c>
      <c r="C177" s="88">
        <v>253</v>
      </c>
      <c r="D177" s="89" t="s">
        <v>236</v>
      </c>
      <c r="E177">
        <v>253</v>
      </c>
    </row>
    <row r="178" spans="1:5" x14ac:dyDescent="0.35">
      <c r="A178" s="88">
        <v>178</v>
      </c>
      <c r="B178" s="89" t="s">
        <v>414</v>
      </c>
      <c r="C178" s="88">
        <v>178</v>
      </c>
      <c r="D178" s="89" t="s">
        <v>236</v>
      </c>
      <c r="E178" t="s">
        <v>747</v>
      </c>
    </row>
    <row r="179" spans="1:5" x14ac:dyDescent="0.35">
      <c r="A179" s="88">
        <v>258</v>
      </c>
      <c r="B179" s="89" t="s">
        <v>415</v>
      </c>
      <c r="C179" s="88">
        <v>258</v>
      </c>
      <c r="D179" s="89" t="s">
        <v>236</v>
      </c>
      <c r="E179" t="s">
        <v>747</v>
      </c>
    </row>
    <row r="180" spans="1:5" x14ac:dyDescent="0.35">
      <c r="A180" s="88">
        <v>81</v>
      </c>
      <c r="B180" s="89" t="s">
        <v>416</v>
      </c>
      <c r="C180" s="88">
        <v>81</v>
      </c>
      <c r="D180" s="89" t="s">
        <v>236</v>
      </c>
      <c r="E180">
        <v>81</v>
      </c>
    </row>
    <row r="181" spans="1:5" x14ac:dyDescent="0.35">
      <c r="A181" s="88">
        <v>151</v>
      </c>
      <c r="B181" s="89" t="s">
        <v>417</v>
      </c>
      <c r="C181" s="88">
        <v>151</v>
      </c>
      <c r="D181" s="89" t="s">
        <v>236</v>
      </c>
      <c r="E181" t="s">
        <v>747</v>
      </c>
    </row>
    <row r="182" spans="1:5" x14ac:dyDescent="0.35">
      <c r="A182" s="88">
        <v>146</v>
      </c>
      <c r="B182" s="89" t="s">
        <v>418</v>
      </c>
      <c r="C182" s="88">
        <v>146</v>
      </c>
      <c r="D182" s="89" t="s">
        <v>236</v>
      </c>
      <c r="E182" t="s">
        <v>747</v>
      </c>
    </row>
    <row r="183" spans="1:5" x14ac:dyDescent="0.35">
      <c r="A183" s="88">
        <v>165</v>
      </c>
      <c r="B183" s="89" t="s">
        <v>419</v>
      </c>
      <c r="C183" s="88">
        <v>165</v>
      </c>
      <c r="D183" s="89" t="s">
        <v>236</v>
      </c>
      <c r="E183" t="s">
        <v>747</v>
      </c>
    </row>
    <row r="184" spans="1:5" x14ac:dyDescent="0.35">
      <c r="A184" s="88">
        <v>168</v>
      </c>
      <c r="B184" s="89" t="s">
        <v>420</v>
      </c>
      <c r="C184" s="88">
        <v>168</v>
      </c>
      <c r="D184" s="89" t="s">
        <v>236</v>
      </c>
      <c r="E184" t="s">
        <v>747</v>
      </c>
    </row>
    <row r="185" spans="1:5" x14ac:dyDescent="0.35">
      <c r="A185" s="88">
        <v>44</v>
      </c>
      <c r="B185" s="89" t="s">
        <v>421</v>
      </c>
      <c r="C185" s="88">
        <v>44</v>
      </c>
      <c r="D185" s="89" t="s">
        <v>236</v>
      </c>
      <c r="E185" t="s">
        <v>747</v>
      </c>
    </row>
    <row r="186" spans="1:5" x14ac:dyDescent="0.35">
      <c r="A186" s="88">
        <v>141</v>
      </c>
      <c r="B186" s="89" t="s">
        <v>422</v>
      </c>
      <c r="C186" s="88">
        <v>141</v>
      </c>
      <c r="D186" s="89" t="s">
        <v>236</v>
      </c>
      <c r="E186">
        <v>141</v>
      </c>
    </row>
    <row r="187" spans="1:5" x14ac:dyDescent="0.35">
      <c r="A187" s="88">
        <v>257</v>
      </c>
      <c r="B187" s="89" t="s">
        <v>423</v>
      </c>
      <c r="C187" s="88">
        <v>257</v>
      </c>
      <c r="D187" s="89" t="s">
        <v>236</v>
      </c>
      <c r="E187" t="s">
        <v>747</v>
      </c>
    </row>
    <row r="188" spans="1:5" x14ac:dyDescent="0.35">
      <c r="A188" s="88">
        <v>216</v>
      </c>
      <c r="B188" s="89" t="s">
        <v>424</v>
      </c>
      <c r="C188" s="88">
        <v>216</v>
      </c>
      <c r="D188" s="89" t="s">
        <v>236</v>
      </c>
      <c r="E188" t="s">
        <v>747</v>
      </c>
    </row>
    <row r="189" spans="1:5" x14ac:dyDescent="0.35">
      <c r="A189" s="88">
        <v>219</v>
      </c>
      <c r="B189" s="89" t="s">
        <v>425</v>
      </c>
      <c r="C189" s="88">
        <v>219</v>
      </c>
      <c r="D189" s="89" t="s">
        <v>236</v>
      </c>
      <c r="E189" t="s">
        <v>747</v>
      </c>
    </row>
    <row r="190" spans="1:5" x14ac:dyDescent="0.35">
      <c r="A190" s="88">
        <v>245</v>
      </c>
      <c r="B190" s="89" t="s">
        <v>426</v>
      </c>
      <c r="C190" s="88">
        <v>245</v>
      </c>
      <c r="D190" s="89" t="s">
        <v>236</v>
      </c>
      <c r="E190" t="s">
        <v>747</v>
      </c>
    </row>
    <row r="191" spans="1:5" x14ac:dyDescent="0.35">
      <c r="A191" s="88">
        <v>239</v>
      </c>
      <c r="B191" s="89" t="s">
        <v>427</v>
      </c>
      <c r="C191" s="88">
        <v>239</v>
      </c>
      <c r="D191" s="89" t="s">
        <v>236</v>
      </c>
      <c r="E191" t="s">
        <v>747</v>
      </c>
    </row>
    <row r="192" spans="1:5" x14ac:dyDescent="0.35">
      <c r="A192" s="88">
        <v>230</v>
      </c>
      <c r="B192" s="89" t="s">
        <v>428</v>
      </c>
      <c r="C192" s="88">
        <v>230</v>
      </c>
      <c r="D192" s="89" t="s">
        <v>236</v>
      </c>
      <c r="E192">
        <v>230</v>
      </c>
    </row>
    <row r="193" spans="1:5" x14ac:dyDescent="0.35">
      <c r="A193" s="88">
        <v>88</v>
      </c>
      <c r="B193" s="89" t="s">
        <v>429</v>
      </c>
      <c r="C193" s="88">
        <v>88</v>
      </c>
      <c r="D193" s="89" t="s">
        <v>236</v>
      </c>
      <c r="E193" t="s">
        <v>747</v>
      </c>
    </row>
    <row r="194" spans="1:5" x14ac:dyDescent="0.35">
      <c r="A194" s="88">
        <v>296</v>
      </c>
      <c r="B194" s="89" t="s">
        <v>430</v>
      </c>
      <c r="C194" s="88">
        <v>296</v>
      </c>
      <c r="D194" s="89" t="s">
        <v>236</v>
      </c>
      <c r="E194">
        <v>296</v>
      </c>
    </row>
    <row r="195" spans="1:5" x14ac:dyDescent="0.35">
      <c r="A195" s="88">
        <v>127</v>
      </c>
      <c r="B195" s="89" t="s">
        <v>431</v>
      </c>
      <c r="C195" s="88">
        <v>127</v>
      </c>
      <c r="D195" s="89" t="s">
        <v>236</v>
      </c>
      <c r="E195" t="s">
        <v>747</v>
      </c>
    </row>
    <row r="196" spans="1:5" x14ac:dyDescent="0.35">
      <c r="A196" s="88">
        <v>33</v>
      </c>
      <c r="B196" s="89" t="s">
        <v>432</v>
      </c>
      <c r="C196" s="88">
        <v>33</v>
      </c>
      <c r="D196" s="89" t="s">
        <v>236</v>
      </c>
      <c r="E196">
        <v>33</v>
      </c>
    </row>
    <row r="197" spans="1:5" x14ac:dyDescent="0.35">
      <c r="A197" s="88">
        <v>209</v>
      </c>
      <c r="B197" s="89" t="s">
        <v>433</v>
      </c>
      <c r="C197" s="88">
        <v>209</v>
      </c>
      <c r="D197" s="89" t="s">
        <v>236</v>
      </c>
      <c r="E197" t="s">
        <v>747</v>
      </c>
    </row>
    <row r="198" spans="1:5" x14ac:dyDescent="0.35">
      <c r="A198" s="88">
        <v>84</v>
      </c>
      <c r="B198" s="89" t="s">
        <v>434</v>
      </c>
      <c r="C198" s="88">
        <v>84</v>
      </c>
      <c r="D198" s="89" t="s">
        <v>236</v>
      </c>
      <c r="E198" t="s">
        <v>747</v>
      </c>
    </row>
    <row r="199" spans="1:5" x14ac:dyDescent="0.35">
      <c r="A199" s="88">
        <v>162</v>
      </c>
      <c r="B199" s="89" t="s">
        <v>435</v>
      </c>
      <c r="C199" s="88">
        <v>162</v>
      </c>
      <c r="D199" s="89" t="s">
        <v>236</v>
      </c>
      <c r="E199" t="s">
        <v>747</v>
      </c>
    </row>
    <row r="200" spans="1:5" x14ac:dyDescent="0.35">
      <c r="A200" s="88">
        <v>247</v>
      </c>
      <c r="B200" s="89" t="s">
        <v>436</v>
      </c>
      <c r="C200" s="88">
        <v>247</v>
      </c>
      <c r="D200" s="89" t="s">
        <v>236</v>
      </c>
      <c r="E200" t="s">
        <v>747</v>
      </c>
    </row>
    <row r="201" spans="1:5" x14ac:dyDescent="0.35">
      <c r="A201" s="88">
        <v>163</v>
      </c>
      <c r="B201" s="89" t="s">
        <v>437</v>
      </c>
      <c r="C201" s="88">
        <v>163</v>
      </c>
      <c r="D201" s="89" t="s">
        <v>236</v>
      </c>
      <c r="E201" t="s">
        <v>747</v>
      </c>
    </row>
    <row r="202" spans="1:5" x14ac:dyDescent="0.35">
      <c r="A202" s="88">
        <v>234</v>
      </c>
      <c r="B202" s="89" t="s">
        <v>438</v>
      </c>
      <c r="C202" s="88">
        <v>234</v>
      </c>
      <c r="D202" s="89" t="s">
        <v>236</v>
      </c>
      <c r="E202" t="s">
        <v>747</v>
      </c>
    </row>
    <row r="203" spans="1:5" x14ac:dyDescent="0.35">
      <c r="A203" s="88">
        <v>25</v>
      </c>
      <c r="B203" s="89" t="s">
        <v>439</v>
      </c>
      <c r="C203" s="88">
        <v>25</v>
      </c>
      <c r="D203" s="89" t="s">
        <v>236</v>
      </c>
      <c r="E203" t="s">
        <v>747</v>
      </c>
    </row>
    <row r="204" spans="1:5" x14ac:dyDescent="0.35">
      <c r="A204" s="88">
        <v>116</v>
      </c>
      <c r="B204" s="89" t="s">
        <v>440</v>
      </c>
      <c r="C204" s="88">
        <v>116</v>
      </c>
      <c r="D204" s="89" t="s">
        <v>236</v>
      </c>
      <c r="E204" t="s">
        <v>747</v>
      </c>
    </row>
    <row r="205" spans="1:5" x14ac:dyDescent="0.35">
      <c r="A205" s="88">
        <v>46</v>
      </c>
      <c r="B205" s="89" t="s">
        <v>441</v>
      </c>
      <c r="C205" s="88">
        <v>46</v>
      </c>
      <c r="D205" s="89" t="s">
        <v>236</v>
      </c>
      <c r="E205" t="s">
        <v>747</v>
      </c>
    </row>
    <row r="206" spans="1:5" x14ac:dyDescent="0.35">
      <c r="A206" s="88">
        <v>24</v>
      </c>
      <c r="B206" s="89" t="s">
        <v>442</v>
      </c>
      <c r="C206" s="88">
        <v>24</v>
      </c>
      <c r="D206" s="89" t="s">
        <v>236</v>
      </c>
      <c r="E206" t="s">
        <v>747</v>
      </c>
    </row>
    <row r="207" spans="1:5" x14ac:dyDescent="0.35">
      <c r="A207" s="88">
        <v>294</v>
      </c>
      <c r="B207" s="89" t="s">
        <v>443</v>
      </c>
      <c r="C207" s="88">
        <v>294</v>
      </c>
      <c r="D207" s="89" t="s">
        <v>236</v>
      </c>
      <c r="E207" t="s">
        <v>747</v>
      </c>
    </row>
    <row r="208" spans="1:5" x14ac:dyDescent="0.35">
      <c r="A208" s="88">
        <v>102</v>
      </c>
      <c r="B208" s="89" t="s">
        <v>444</v>
      </c>
      <c r="C208" s="88">
        <v>102</v>
      </c>
      <c r="D208" s="89" t="s">
        <v>236</v>
      </c>
      <c r="E208" t="s">
        <v>747</v>
      </c>
    </row>
    <row r="209" spans="1:5" x14ac:dyDescent="0.35">
      <c r="A209" s="88">
        <v>140</v>
      </c>
      <c r="B209" s="89" t="s">
        <v>445</v>
      </c>
      <c r="C209" s="88">
        <v>140</v>
      </c>
      <c r="D209" s="89" t="s">
        <v>236</v>
      </c>
      <c r="E209" t="s">
        <v>747</v>
      </c>
    </row>
    <row r="210" spans="1:5" x14ac:dyDescent="0.35">
      <c r="A210" s="88">
        <v>71</v>
      </c>
      <c r="B210" s="89" t="s">
        <v>446</v>
      </c>
      <c r="C210" s="88">
        <v>71</v>
      </c>
      <c r="D210" s="89" t="s">
        <v>236</v>
      </c>
      <c r="E210" t="s">
        <v>747</v>
      </c>
    </row>
    <row r="211" spans="1:5" x14ac:dyDescent="0.35">
      <c r="A211" s="88">
        <v>142</v>
      </c>
      <c r="B211" s="89" t="s">
        <v>447</v>
      </c>
      <c r="C211" s="88">
        <v>142</v>
      </c>
      <c r="D211" s="89" t="s">
        <v>236</v>
      </c>
      <c r="E211" t="s">
        <v>747</v>
      </c>
    </row>
    <row r="212" spans="1:5" x14ac:dyDescent="0.35">
      <c r="A212" s="88">
        <v>62</v>
      </c>
      <c r="B212" s="89" t="s">
        <v>448</v>
      </c>
      <c r="C212" s="88">
        <v>62</v>
      </c>
      <c r="D212" s="89" t="s">
        <v>236</v>
      </c>
      <c r="E212" t="s">
        <v>747</v>
      </c>
    </row>
    <row r="213" spans="1:5" x14ac:dyDescent="0.35">
      <c r="A213" s="88">
        <v>220</v>
      </c>
      <c r="B213" s="89" t="s">
        <v>449</v>
      </c>
      <c r="C213" s="88">
        <v>220</v>
      </c>
      <c r="D213" s="89" t="s">
        <v>236</v>
      </c>
      <c r="E213" t="s">
        <v>747</v>
      </c>
    </row>
    <row r="214" spans="1:5" x14ac:dyDescent="0.35">
      <c r="A214" s="88">
        <v>213</v>
      </c>
      <c r="B214" s="89" t="s">
        <v>450</v>
      </c>
      <c r="C214" s="88">
        <v>213</v>
      </c>
      <c r="D214" s="89" t="s">
        <v>236</v>
      </c>
      <c r="E214" t="s">
        <v>747</v>
      </c>
    </row>
    <row r="215" spans="1:5" x14ac:dyDescent="0.35">
      <c r="A215" s="88">
        <v>175</v>
      </c>
      <c r="B215" s="89" t="s">
        <v>451</v>
      </c>
      <c r="C215" s="88">
        <v>175</v>
      </c>
      <c r="D215" s="89" t="s">
        <v>236</v>
      </c>
      <c r="E215" t="s">
        <v>747</v>
      </c>
    </row>
    <row r="216" spans="1:5" x14ac:dyDescent="0.35">
      <c r="A216" s="88">
        <v>246</v>
      </c>
      <c r="B216" s="89" t="s">
        <v>452</v>
      </c>
      <c r="C216" s="88">
        <v>246</v>
      </c>
      <c r="D216" s="89" t="s">
        <v>236</v>
      </c>
      <c r="E216" t="s">
        <v>747</v>
      </c>
    </row>
    <row r="217" spans="1:5" x14ac:dyDescent="0.35">
      <c r="A217" s="88">
        <v>113</v>
      </c>
      <c r="B217" s="89" t="s">
        <v>453</v>
      </c>
      <c r="C217" s="88">
        <v>113</v>
      </c>
      <c r="D217" s="89" t="s">
        <v>236</v>
      </c>
      <c r="E217" t="s">
        <v>747</v>
      </c>
    </row>
    <row r="218" spans="1:5" x14ac:dyDescent="0.35">
      <c r="A218" s="88">
        <v>226</v>
      </c>
      <c r="B218" s="89" t="s">
        <v>454</v>
      </c>
      <c r="C218" s="88">
        <v>226</v>
      </c>
      <c r="D218" s="89" t="s">
        <v>236</v>
      </c>
      <c r="E218" t="s">
        <v>747</v>
      </c>
    </row>
    <row r="219" spans="1:5" x14ac:dyDescent="0.35">
      <c r="A219" s="88">
        <v>97</v>
      </c>
      <c r="B219" s="89" t="s">
        <v>455</v>
      </c>
      <c r="C219" s="88">
        <v>97</v>
      </c>
      <c r="D219" s="89" t="s">
        <v>236</v>
      </c>
      <c r="E219">
        <v>97</v>
      </c>
    </row>
    <row r="220" spans="1:5" x14ac:dyDescent="0.35">
      <c r="A220" s="88">
        <v>20</v>
      </c>
      <c r="B220" s="89" t="s">
        <v>456</v>
      </c>
      <c r="C220" s="88">
        <v>20</v>
      </c>
      <c r="D220" s="89" t="s">
        <v>236</v>
      </c>
      <c r="E220" t="s">
        <v>747</v>
      </c>
    </row>
    <row r="221" spans="1:5" x14ac:dyDescent="0.35">
      <c r="A221" s="88">
        <v>91</v>
      </c>
      <c r="B221" s="89" t="s">
        <v>457</v>
      </c>
      <c r="C221" s="88">
        <v>91</v>
      </c>
      <c r="D221" s="89" t="s">
        <v>236</v>
      </c>
      <c r="E221" t="s">
        <v>747</v>
      </c>
    </row>
    <row r="222" spans="1:5" x14ac:dyDescent="0.35">
      <c r="A222" s="88">
        <v>104</v>
      </c>
      <c r="B222" s="89" t="s">
        <v>458</v>
      </c>
      <c r="C222" s="88">
        <v>104</v>
      </c>
      <c r="D222" s="89" t="s">
        <v>236</v>
      </c>
      <c r="E222" t="s">
        <v>747</v>
      </c>
    </row>
    <row r="223" spans="1:5" x14ac:dyDescent="0.35">
      <c r="A223" s="88">
        <v>318</v>
      </c>
      <c r="B223" s="89" t="s">
        <v>459</v>
      </c>
      <c r="C223" s="88">
        <v>318</v>
      </c>
      <c r="D223" s="89" t="s">
        <v>236</v>
      </c>
      <c r="E223" t="s">
        <v>747</v>
      </c>
    </row>
    <row r="224" spans="1:5" x14ac:dyDescent="0.35">
      <c r="A224" s="88">
        <v>202</v>
      </c>
      <c r="B224" s="89" t="s">
        <v>460</v>
      </c>
      <c r="C224" s="88">
        <v>202</v>
      </c>
      <c r="D224" s="89" t="s">
        <v>236</v>
      </c>
      <c r="E224" t="s">
        <v>747</v>
      </c>
    </row>
    <row r="225" spans="1:5" x14ac:dyDescent="0.35">
      <c r="A225" s="88">
        <v>167</v>
      </c>
      <c r="B225" s="89" t="s">
        <v>461</v>
      </c>
      <c r="C225" s="88">
        <v>167</v>
      </c>
      <c r="D225" s="89" t="s">
        <v>236</v>
      </c>
      <c r="E225" t="s">
        <v>747</v>
      </c>
    </row>
    <row r="226" spans="1:5" x14ac:dyDescent="0.35">
      <c r="A226" s="88">
        <v>263</v>
      </c>
      <c r="B226" s="89" t="s">
        <v>462</v>
      </c>
      <c r="C226" s="88">
        <v>263</v>
      </c>
      <c r="D226" s="89" t="s">
        <v>236</v>
      </c>
      <c r="E226" t="s">
        <v>747</v>
      </c>
    </row>
    <row r="227" spans="1:5" x14ac:dyDescent="0.35">
      <c r="A227" s="88">
        <v>217</v>
      </c>
      <c r="B227" s="89" t="s">
        <v>463</v>
      </c>
      <c r="C227" s="88">
        <v>217</v>
      </c>
      <c r="D227" s="89" t="s">
        <v>236</v>
      </c>
      <c r="E227">
        <v>217</v>
      </c>
    </row>
    <row r="228" spans="1:5" x14ac:dyDescent="0.35">
      <c r="A228" s="88">
        <v>306</v>
      </c>
      <c r="B228" s="89" t="s">
        <v>464</v>
      </c>
      <c r="C228" s="88">
        <v>306</v>
      </c>
      <c r="D228" s="89" t="s">
        <v>236</v>
      </c>
      <c r="E228" t="s">
        <v>747</v>
      </c>
    </row>
    <row r="229" spans="1:5" x14ac:dyDescent="0.35">
      <c r="A229" s="88">
        <v>56</v>
      </c>
      <c r="B229" s="89" t="s">
        <v>465</v>
      </c>
      <c r="C229" s="88">
        <v>56</v>
      </c>
      <c r="D229" s="89" t="s">
        <v>236</v>
      </c>
      <c r="E229" t="s">
        <v>747</v>
      </c>
    </row>
    <row r="230" spans="1:5" x14ac:dyDescent="0.35">
      <c r="A230" s="88">
        <v>47</v>
      </c>
      <c r="B230" s="89" t="s">
        <v>466</v>
      </c>
      <c r="C230" s="88">
        <v>47</v>
      </c>
      <c r="D230" s="89" t="s">
        <v>236</v>
      </c>
      <c r="E230" t="s">
        <v>747</v>
      </c>
    </row>
    <row r="231" spans="1:5" x14ac:dyDescent="0.35">
      <c r="A231" s="88">
        <v>261</v>
      </c>
      <c r="B231" s="89" t="s">
        <v>467</v>
      </c>
      <c r="C231" s="88">
        <v>261</v>
      </c>
      <c r="D231" s="89" t="s">
        <v>236</v>
      </c>
      <c r="E231" t="s">
        <v>747</v>
      </c>
    </row>
    <row r="232" spans="1:5" x14ac:dyDescent="0.35">
      <c r="A232" s="88">
        <v>321</v>
      </c>
      <c r="B232" s="89" t="s">
        <v>468</v>
      </c>
      <c r="C232" s="88">
        <v>321</v>
      </c>
      <c r="D232" s="89" t="s">
        <v>236</v>
      </c>
      <c r="E232" t="s">
        <v>747</v>
      </c>
    </row>
    <row r="233" spans="1:5" x14ac:dyDescent="0.35">
      <c r="A233" s="88">
        <v>198</v>
      </c>
      <c r="B233" s="89" t="s">
        <v>469</v>
      </c>
      <c r="C233" s="88">
        <v>198</v>
      </c>
      <c r="D233" s="89" t="s">
        <v>236</v>
      </c>
      <c r="E233">
        <v>198</v>
      </c>
    </row>
    <row r="234" spans="1:5" x14ac:dyDescent="0.35">
      <c r="A234" s="88">
        <v>170</v>
      </c>
      <c r="B234" s="89" t="s">
        <v>470</v>
      </c>
      <c r="C234" s="88">
        <v>170</v>
      </c>
      <c r="D234" s="89" t="s">
        <v>236</v>
      </c>
      <c r="E234" t="s">
        <v>747</v>
      </c>
    </row>
    <row r="235" spans="1:5" x14ac:dyDescent="0.35">
      <c r="A235" s="88">
        <v>241</v>
      </c>
      <c r="B235" s="89" t="s">
        <v>471</v>
      </c>
      <c r="C235" s="88">
        <v>241</v>
      </c>
      <c r="D235" s="89" t="s">
        <v>236</v>
      </c>
      <c r="E235" t="s">
        <v>747</v>
      </c>
    </row>
    <row r="236" spans="1:5" x14ac:dyDescent="0.35">
      <c r="A236" s="88">
        <v>156</v>
      </c>
      <c r="B236" s="89" t="s">
        <v>472</v>
      </c>
      <c r="C236" s="88">
        <v>156</v>
      </c>
      <c r="D236" s="89" t="s">
        <v>236</v>
      </c>
      <c r="E236" t="s">
        <v>747</v>
      </c>
    </row>
    <row r="237" spans="1:5" x14ac:dyDescent="0.35">
      <c r="A237" s="88">
        <v>105</v>
      </c>
      <c r="B237" s="89" t="s">
        <v>473</v>
      </c>
      <c r="C237" s="88">
        <v>105</v>
      </c>
      <c r="D237" s="89" t="s">
        <v>236</v>
      </c>
      <c r="E237" t="s">
        <v>747</v>
      </c>
    </row>
    <row r="238" spans="1:5" x14ac:dyDescent="0.35">
      <c r="A238" s="88">
        <v>96</v>
      </c>
      <c r="B238" s="89" t="s">
        <v>474</v>
      </c>
      <c r="C238" s="88">
        <v>96</v>
      </c>
      <c r="D238" s="89" t="s">
        <v>236</v>
      </c>
      <c r="E238" t="s">
        <v>747</v>
      </c>
    </row>
    <row r="239" spans="1:5" x14ac:dyDescent="0.35">
      <c r="A239" s="88">
        <v>118</v>
      </c>
      <c r="B239" s="89" t="s">
        <v>475</v>
      </c>
      <c r="C239" s="88">
        <v>118</v>
      </c>
      <c r="D239" s="89" t="s">
        <v>236</v>
      </c>
      <c r="E239" t="s">
        <v>747</v>
      </c>
    </row>
    <row r="240" spans="1:5" x14ac:dyDescent="0.35">
      <c r="A240" s="88">
        <v>117</v>
      </c>
      <c r="B240" s="89" t="s">
        <v>476</v>
      </c>
      <c r="C240" s="88">
        <v>117</v>
      </c>
      <c r="D240" s="89" t="s">
        <v>236</v>
      </c>
      <c r="E240" t="s">
        <v>747</v>
      </c>
    </row>
    <row r="241" spans="1:5" x14ac:dyDescent="0.35">
      <c r="A241" s="88">
        <v>147</v>
      </c>
      <c r="B241" s="89" t="s">
        <v>477</v>
      </c>
      <c r="C241" s="88">
        <v>147</v>
      </c>
      <c r="D241" s="89" t="s">
        <v>236</v>
      </c>
      <c r="E241" t="s">
        <v>747</v>
      </c>
    </row>
    <row r="242" spans="1:5" x14ac:dyDescent="0.35">
      <c r="A242" s="88">
        <v>210</v>
      </c>
      <c r="B242" s="89" t="s">
        <v>478</v>
      </c>
      <c r="C242" s="88">
        <v>210</v>
      </c>
      <c r="D242" s="89" t="s">
        <v>236</v>
      </c>
      <c r="E242" t="s">
        <v>747</v>
      </c>
    </row>
    <row r="243" spans="1:5" x14ac:dyDescent="0.35">
      <c r="A243" s="88">
        <v>12</v>
      </c>
      <c r="B243" s="89" t="s">
        <v>479</v>
      </c>
      <c r="C243" s="88">
        <v>12</v>
      </c>
      <c r="D243" s="89" t="s">
        <v>236</v>
      </c>
      <c r="E243" t="s">
        <v>747</v>
      </c>
    </row>
    <row r="244" spans="1:5" x14ac:dyDescent="0.35">
      <c r="A244" s="88">
        <v>152</v>
      </c>
      <c r="B244" s="89" t="s">
        <v>480</v>
      </c>
      <c r="C244" s="88">
        <v>152</v>
      </c>
      <c r="D244" s="89" t="s">
        <v>236</v>
      </c>
      <c r="E244" t="s">
        <v>747</v>
      </c>
    </row>
    <row r="245" spans="1:5" x14ac:dyDescent="0.35">
      <c r="A245" s="88">
        <v>15</v>
      </c>
      <c r="B245" s="89" t="s">
        <v>481</v>
      </c>
      <c r="C245" s="88">
        <v>15</v>
      </c>
      <c r="D245" s="89" t="s">
        <v>236</v>
      </c>
      <c r="E245" t="s">
        <v>747</v>
      </c>
    </row>
    <row r="246" spans="1:5" x14ac:dyDescent="0.35">
      <c r="A246" s="88">
        <v>255</v>
      </c>
      <c r="B246" s="89" t="s">
        <v>482</v>
      </c>
      <c r="C246" s="88">
        <v>255</v>
      </c>
      <c r="D246" s="89" t="s">
        <v>236</v>
      </c>
      <c r="E246" t="s">
        <v>747</v>
      </c>
    </row>
    <row r="247" spans="1:5" x14ac:dyDescent="0.35">
      <c r="A247" s="88">
        <v>51</v>
      </c>
      <c r="B247" s="89" t="s">
        <v>483</v>
      </c>
      <c r="C247" s="88">
        <v>51</v>
      </c>
      <c r="D247" s="89" t="s">
        <v>236</v>
      </c>
      <c r="E247" t="s">
        <v>747</v>
      </c>
    </row>
    <row r="248" spans="1:5" x14ac:dyDescent="0.35">
      <c r="A248" s="88">
        <v>78</v>
      </c>
      <c r="B248" s="89" t="s">
        <v>484</v>
      </c>
      <c r="C248" s="88">
        <v>78</v>
      </c>
      <c r="D248" s="89" t="s">
        <v>236</v>
      </c>
      <c r="E248" t="s">
        <v>747</v>
      </c>
    </row>
    <row r="249" spans="1:5" x14ac:dyDescent="0.35">
      <c r="A249" s="88">
        <v>48</v>
      </c>
      <c r="B249" s="89" t="s">
        <v>485</v>
      </c>
      <c r="C249" s="88">
        <v>48</v>
      </c>
      <c r="D249" s="89" t="s">
        <v>236</v>
      </c>
      <c r="E249" t="s">
        <v>747</v>
      </c>
    </row>
    <row r="250" spans="1:5" x14ac:dyDescent="0.35">
      <c r="A250" s="88">
        <v>43</v>
      </c>
      <c r="B250" s="89" t="s">
        <v>486</v>
      </c>
      <c r="C250" s="88">
        <v>43</v>
      </c>
      <c r="D250" s="89" t="s">
        <v>236</v>
      </c>
      <c r="E250" t="s">
        <v>747</v>
      </c>
    </row>
    <row r="251" spans="1:5" x14ac:dyDescent="0.35">
      <c r="A251" s="88">
        <v>98</v>
      </c>
      <c r="B251" s="89" t="s">
        <v>487</v>
      </c>
      <c r="C251" s="88">
        <v>98</v>
      </c>
      <c r="D251" s="89" t="s">
        <v>236</v>
      </c>
      <c r="E251" t="s">
        <v>747</v>
      </c>
    </row>
    <row r="252" spans="1:5" x14ac:dyDescent="0.35">
      <c r="A252" s="88">
        <v>256</v>
      </c>
      <c r="B252" s="89" t="s">
        <v>488</v>
      </c>
      <c r="C252" s="88">
        <v>256</v>
      </c>
      <c r="D252" s="89" t="s">
        <v>236</v>
      </c>
      <c r="E252" t="s">
        <v>747</v>
      </c>
    </row>
    <row r="253" spans="1:5" x14ac:dyDescent="0.35">
      <c r="A253" s="88">
        <v>95</v>
      </c>
      <c r="B253" s="89" t="s">
        <v>489</v>
      </c>
      <c r="C253" s="88">
        <v>95</v>
      </c>
      <c r="D253" s="89" t="s">
        <v>236</v>
      </c>
      <c r="E253">
        <v>95</v>
      </c>
    </row>
    <row r="254" spans="1:5" x14ac:dyDescent="0.35">
      <c r="A254" s="88">
        <v>557</v>
      </c>
      <c r="B254" s="89" t="s">
        <v>490</v>
      </c>
      <c r="C254" s="88">
        <v>557</v>
      </c>
      <c r="D254" s="89" t="s">
        <v>236</v>
      </c>
      <c r="E254" t="s">
        <v>747</v>
      </c>
    </row>
    <row r="255" spans="1:5" x14ac:dyDescent="0.35">
      <c r="A255" s="88">
        <v>575</v>
      </c>
      <c r="B255" s="89" t="s">
        <v>491</v>
      </c>
      <c r="C255" s="88">
        <v>575</v>
      </c>
      <c r="D255" s="89" t="s">
        <v>236</v>
      </c>
      <c r="E255" t="s">
        <v>747</v>
      </c>
    </row>
    <row r="256" spans="1:5" x14ac:dyDescent="0.35">
      <c r="A256" s="88">
        <v>625</v>
      </c>
      <c r="B256" s="89" t="s">
        <v>492</v>
      </c>
      <c r="C256" s="88">
        <v>625</v>
      </c>
      <c r="D256" s="89" t="s">
        <v>236</v>
      </c>
      <c r="E256" t="s">
        <v>747</v>
      </c>
    </row>
    <row r="257" spans="1:5" x14ac:dyDescent="0.35">
      <c r="A257" s="88">
        <v>568</v>
      </c>
      <c r="B257" s="89" t="s">
        <v>493</v>
      </c>
      <c r="C257" s="88">
        <v>568</v>
      </c>
      <c r="D257" s="89" t="s">
        <v>236</v>
      </c>
      <c r="E257" t="s">
        <v>747</v>
      </c>
    </row>
    <row r="258" spans="1:5" x14ac:dyDescent="0.35">
      <c r="A258" s="88">
        <v>614</v>
      </c>
      <c r="B258" s="89" t="s">
        <v>494</v>
      </c>
      <c r="C258" s="88">
        <v>614</v>
      </c>
      <c r="D258" s="89" t="s">
        <v>236</v>
      </c>
      <c r="E258" t="s">
        <v>747</v>
      </c>
    </row>
    <row r="259" spans="1:5" x14ac:dyDescent="0.35">
      <c r="A259" s="88">
        <v>513</v>
      </c>
      <c r="B259" s="89" t="s">
        <v>495</v>
      </c>
      <c r="C259" s="88">
        <v>513</v>
      </c>
      <c r="D259" s="89" t="s">
        <v>236</v>
      </c>
      <c r="E259" t="s">
        <v>747</v>
      </c>
    </row>
    <row r="260" spans="1:5" x14ac:dyDescent="0.35">
      <c r="A260" s="88">
        <v>533</v>
      </c>
      <c r="B260" s="89" t="s">
        <v>496</v>
      </c>
      <c r="C260" s="88">
        <v>533</v>
      </c>
      <c r="D260" s="89" t="s">
        <v>236</v>
      </c>
      <c r="E260" t="s">
        <v>747</v>
      </c>
    </row>
    <row r="261" spans="1:5" x14ac:dyDescent="0.35">
      <c r="A261" s="88">
        <v>589</v>
      </c>
      <c r="B261" s="89" t="s">
        <v>497</v>
      </c>
      <c r="C261" s="88">
        <v>589</v>
      </c>
      <c r="D261" s="89" t="s">
        <v>236</v>
      </c>
      <c r="E261" t="s">
        <v>747</v>
      </c>
    </row>
    <row r="262" spans="1:5" x14ac:dyDescent="0.35">
      <c r="A262" s="88">
        <v>722</v>
      </c>
      <c r="B262" s="89" t="s">
        <v>498</v>
      </c>
      <c r="C262" s="88">
        <v>722</v>
      </c>
      <c r="D262" s="89" t="s">
        <v>236</v>
      </c>
      <c r="E262" t="s">
        <v>747</v>
      </c>
    </row>
    <row r="263" spans="1:5" x14ac:dyDescent="0.35">
      <c r="A263" s="88">
        <v>678</v>
      </c>
      <c r="B263" s="89" t="s">
        <v>499</v>
      </c>
      <c r="C263" s="88">
        <v>678</v>
      </c>
      <c r="D263" s="89" t="s">
        <v>236</v>
      </c>
      <c r="E263" t="s">
        <v>747</v>
      </c>
    </row>
    <row r="264" spans="1:5" x14ac:dyDescent="0.35">
      <c r="A264" s="88">
        <v>539</v>
      </c>
      <c r="B264" s="89" t="s">
        <v>500</v>
      </c>
      <c r="C264" s="88">
        <v>539</v>
      </c>
      <c r="D264" s="89" t="s">
        <v>236</v>
      </c>
      <c r="E264" t="s">
        <v>747</v>
      </c>
    </row>
    <row r="265" spans="1:5" x14ac:dyDescent="0.35">
      <c r="A265" s="88">
        <v>741</v>
      </c>
      <c r="B265" s="89" t="s">
        <v>501</v>
      </c>
      <c r="C265" s="88">
        <v>741</v>
      </c>
      <c r="D265" s="89" t="s">
        <v>236</v>
      </c>
      <c r="E265" t="s">
        <v>747</v>
      </c>
    </row>
    <row r="266" spans="1:5" x14ac:dyDescent="0.35">
      <c r="A266" s="88">
        <v>581</v>
      </c>
      <c r="B266" s="89" t="s">
        <v>502</v>
      </c>
      <c r="C266" s="88">
        <v>581</v>
      </c>
      <c r="D266" s="89" t="s">
        <v>236</v>
      </c>
      <c r="E266" t="s">
        <v>747</v>
      </c>
    </row>
    <row r="267" spans="1:5" x14ac:dyDescent="0.35">
      <c r="A267" s="88">
        <v>586</v>
      </c>
      <c r="B267" s="89" t="s">
        <v>503</v>
      </c>
      <c r="C267" s="88">
        <v>586</v>
      </c>
      <c r="D267" s="89" t="s">
        <v>236</v>
      </c>
      <c r="E267" t="s">
        <v>747</v>
      </c>
    </row>
    <row r="268" spans="1:5" x14ac:dyDescent="0.35">
      <c r="A268" s="88">
        <v>699</v>
      </c>
      <c r="B268" s="89" t="s">
        <v>504</v>
      </c>
      <c r="C268" s="88">
        <v>699</v>
      </c>
      <c r="D268" s="89" t="s">
        <v>236</v>
      </c>
      <c r="E268" t="s">
        <v>747</v>
      </c>
    </row>
    <row r="269" spans="1:5" x14ac:dyDescent="0.35">
      <c r="A269" s="88">
        <v>717</v>
      </c>
      <c r="B269" s="89" t="s">
        <v>505</v>
      </c>
      <c r="C269" s="88">
        <v>717</v>
      </c>
      <c r="D269" s="89" t="s">
        <v>236</v>
      </c>
      <c r="E269" t="s">
        <v>747</v>
      </c>
    </row>
    <row r="270" spans="1:5" x14ac:dyDescent="0.35">
      <c r="A270" s="88">
        <v>545</v>
      </c>
      <c r="B270" s="89" t="s">
        <v>506</v>
      </c>
      <c r="C270" s="88">
        <v>545</v>
      </c>
      <c r="D270" s="89" t="s">
        <v>236</v>
      </c>
      <c r="E270" t="s">
        <v>747</v>
      </c>
    </row>
    <row r="271" spans="1:5" x14ac:dyDescent="0.35">
      <c r="A271" s="88">
        <v>548</v>
      </c>
      <c r="B271" s="89" t="s">
        <v>507</v>
      </c>
      <c r="C271" s="88">
        <v>548</v>
      </c>
      <c r="D271" s="89" t="s">
        <v>236</v>
      </c>
      <c r="E271" t="s">
        <v>747</v>
      </c>
    </row>
    <row r="272" spans="1:5" x14ac:dyDescent="0.35">
      <c r="A272" s="88">
        <v>752</v>
      </c>
      <c r="B272" s="89" t="s">
        <v>508</v>
      </c>
      <c r="C272" s="88">
        <v>752</v>
      </c>
      <c r="D272" s="89" t="s">
        <v>236</v>
      </c>
      <c r="E272">
        <v>752</v>
      </c>
    </row>
    <row r="273" spans="1:5" x14ac:dyDescent="0.35">
      <c r="A273" s="88">
        <v>682</v>
      </c>
      <c r="B273" s="89" t="s">
        <v>509</v>
      </c>
      <c r="C273" s="88">
        <v>682</v>
      </c>
      <c r="D273" s="89" t="s">
        <v>236</v>
      </c>
      <c r="E273" t="s">
        <v>747</v>
      </c>
    </row>
    <row r="274" spans="1:5" x14ac:dyDescent="0.35">
      <c r="A274" s="88">
        <v>595</v>
      </c>
      <c r="B274" s="89" t="s">
        <v>510</v>
      </c>
      <c r="C274" s="88">
        <v>595</v>
      </c>
      <c r="D274" s="89" t="s">
        <v>236</v>
      </c>
      <c r="E274" t="s">
        <v>747</v>
      </c>
    </row>
    <row r="275" spans="1:5" x14ac:dyDescent="0.35">
      <c r="A275" s="88">
        <v>525</v>
      </c>
      <c r="B275" s="89" t="s">
        <v>511</v>
      </c>
      <c r="C275" s="88">
        <v>525</v>
      </c>
      <c r="D275" s="89" t="s">
        <v>236</v>
      </c>
      <c r="E275" t="s">
        <v>747</v>
      </c>
    </row>
    <row r="276" spans="1:5" x14ac:dyDescent="0.35">
      <c r="A276" s="88">
        <v>597</v>
      </c>
      <c r="B276" s="89" t="s">
        <v>512</v>
      </c>
      <c r="C276" s="88">
        <v>597</v>
      </c>
      <c r="D276" s="89" t="s">
        <v>236</v>
      </c>
      <c r="E276" t="s">
        <v>747</v>
      </c>
    </row>
    <row r="277" spans="1:5" x14ac:dyDescent="0.35">
      <c r="A277" s="88">
        <v>531</v>
      </c>
      <c r="B277" s="89" t="s">
        <v>513</v>
      </c>
      <c r="C277" s="88">
        <v>531</v>
      </c>
      <c r="D277" s="89" t="s">
        <v>236</v>
      </c>
      <c r="E277" t="s">
        <v>747</v>
      </c>
    </row>
    <row r="278" spans="1:5" x14ac:dyDescent="0.35">
      <c r="A278" s="88">
        <v>626</v>
      </c>
      <c r="B278" s="89" t="s">
        <v>514</v>
      </c>
      <c r="C278" s="88">
        <v>626</v>
      </c>
      <c r="D278" s="89" t="s">
        <v>236</v>
      </c>
      <c r="E278" t="s">
        <v>747</v>
      </c>
    </row>
    <row r="279" spans="1:5" x14ac:dyDescent="0.35">
      <c r="A279" s="88">
        <v>711</v>
      </c>
      <c r="B279" s="89" t="s">
        <v>515</v>
      </c>
      <c r="C279" s="88">
        <v>711</v>
      </c>
      <c r="D279" s="89" t="s">
        <v>236</v>
      </c>
      <c r="E279">
        <v>711</v>
      </c>
    </row>
    <row r="280" spans="1:5" x14ac:dyDescent="0.35">
      <c r="A280" s="88">
        <v>708</v>
      </c>
      <c r="B280" s="89" t="s">
        <v>516</v>
      </c>
      <c r="C280" s="88">
        <v>708</v>
      </c>
      <c r="D280" s="89" t="s">
        <v>236</v>
      </c>
      <c r="E280" t="s">
        <v>747</v>
      </c>
    </row>
    <row r="281" spans="1:5" x14ac:dyDescent="0.35">
      <c r="A281" s="88">
        <v>738</v>
      </c>
      <c r="B281" s="89" t="s">
        <v>517</v>
      </c>
      <c r="C281" s="88">
        <v>738</v>
      </c>
      <c r="D281" s="89" t="s">
        <v>236</v>
      </c>
      <c r="E281" t="s">
        <v>747</v>
      </c>
    </row>
    <row r="282" spans="1:5" x14ac:dyDescent="0.35">
      <c r="A282" s="88">
        <v>729</v>
      </c>
      <c r="B282" s="89" t="s">
        <v>518</v>
      </c>
      <c r="C282" s="88">
        <v>729</v>
      </c>
      <c r="D282" s="89" t="s">
        <v>236</v>
      </c>
      <c r="E282" t="s">
        <v>747</v>
      </c>
    </row>
    <row r="283" spans="1:5" x14ac:dyDescent="0.35">
      <c r="A283" s="88">
        <v>574</v>
      </c>
      <c r="B283" s="89" t="s">
        <v>519</v>
      </c>
      <c r="C283" s="88">
        <v>574</v>
      </c>
      <c r="D283" s="89" t="s">
        <v>236</v>
      </c>
      <c r="E283" t="s">
        <v>747</v>
      </c>
    </row>
    <row r="284" spans="1:5" x14ac:dyDescent="0.35">
      <c r="A284" s="88">
        <v>538</v>
      </c>
      <c r="B284" s="89" t="s">
        <v>520</v>
      </c>
      <c r="C284" s="88">
        <v>538</v>
      </c>
      <c r="D284" s="89" t="s">
        <v>236</v>
      </c>
      <c r="E284" t="s">
        <v>747</v>
      </c>
    </row>
    <row r="285" spans="1:5" x14ac:dyDescent="0.35">
      <c r="A285" s="88">
        <v>712</v>
      </c>
      <c r="B285" s="89" t="s">
        <v>521</v>
      </c>
      <c r="C285" s="88">
        <v>712</v>
      </c>
      <c r="D285" s="89" t="s">
        <v>236</v>
      </c>
      <c r="E285" t="s">
        <v>747</v>
      </c>
    </row>
    <row r="286" spans="1:5" x14ac:dyDescent="0.35">
      <c r="A286" s="88">
        <v>677</v>
      </c>
      <c r="B286" s="89" t="s">
        <v>522</v>
      </c>
      <c r="C286" s="88">
        <v>677</v>
      </c>
      <c r="D286" s="89" t="s">
        <v>236</v>
      </c>
      <c r="E286" t="s">
        <v>747</v>
      </c>
    </row>
    <row r="287" spans="1:5" x14ac:dyDescent="0.35">
      <c r="A287" s="88">
        <v>550</v>
      </c>
      <c r="B287" s="89" t="s">
        <v>523</v>
      </c>
      <c r="C287" s="88">
        <v>550</v>
      </c>
      <c r="D287" s="89" t="s">
        <v>236</v>
      </c>
      <c r="E287" t="s">
        <v>747</v>
      </c>
    </row>
    <row r="288" spans="1:5" x14ac:dyDescent="0.35">
      <c r="A288" s="88">
        <v>603</v>
      </c>
      <c r="B288" s="89" t="s">
        <v>524</v>
      </c>
      <c r="C288" s="88">
        <v>603</v>
      </c>
      <c r="D288" s="89" t="s">
        <v>236</v>
      </c>
      <c r="E288" t="s">
        <v>747</v>
      </c>
    </row>
    <row r="289" spans="1:5" x14ac:dyDescent="0.35">
      <c r="A289" s="88">
        <v>517</v>
      </c>
      <c r="B289" s="89" t="s">
        <v>525</v>
      </c>
      <c r="C289" s="88">
        <v>517</v>
      </c>
      <c r="D289" s="89" t="s">
        <v>236</v>
      </c>
      <c r="E289" t="s">
        <v>747</v>
      </c>
    </row>
    <row r="290" spans="1:5" x14ac:dyDescent="0.35">
      <c r="A290" s="88">
        <v>515</v>
      </c>
      <c r="B290" s="89" t="s">
        <v>526</v>
      </c>
      <c r="C290" s="88">
        <v>515</v>
      </c>
      <c r="D290" s="89" t="s">
        <v>236</v>
      </c>
      <c r="E290" t="s">
        <v>747</v>
      </c>
    </row>
    <row r="291" spans="1:5" x14ac:dyDescent="0.35">
      <c r="A291" s="88">
        <v>534</v>
      </c>
      <c r="B291" s="89" t="s">
        <v>527</v>
      </c>
      <c r="C291" s="88">
        <v>534</v>
      </c>
      <c r="D291" s="89" t="s">
        <v>236</v>
      </c>
      <c r="E291" t="s">
        <v>747</v>
      </c>
    </row>
    <row r="292" spans="1:5" x14ac:dyDescent="0.35">
      <c r="A292" s="88">
        <v>651</v>
      </c>
      <c r="B292" s="89" t="s">
        <v>528</v>
      </c>
      <c r="C292" s="88">
        <v>651</v>
      </c>
      <c r="D292" s="89" t="s">
        <v>236</v>
      </c>
      <c r="E292" t="s">
        <v>747</v>
      </c>
    </row>
    <row r="293" spans="1:5" x14ac:dyDescent="0.35">
      <c r="A293" s="88">
        <v>746</v>
      </c>
      <c r="B293" s="89" t="s">
        <v>529</v>
      </c>
      <c r="C293" s="88">
        <v>746</v>
      </c>
      <c r="D293" s="89" t="s">
        <v>236</v>
      </c>
      <c r="E293" t="s">
        <v>747</v>
      </c>
    </row>
    <row r="294" spans="1:5" x14ac:dyDescent="0.35">
      <c r="A294" s="88">
        <v>649</v>
      </c>
      <c r="B294" s="89" t="s">
        <v>530</v>
      </c>
      <c r="C294" s="88">
        <v>649</v>
      </c>
      <c r="D294" s="89" t="s">
        <v>236</v>
      </c>
      <c r="E294" t="s">
        <v>747</v>
      </c>
    </row>
    <row r="295" spans="1:5" x14ac:dyDescent="0.35">
      <c r="A295" s="88">
        <v>596</v>
      </c>
      <c r="B295" s="89" t="s">
        <v>531</v>
      </c>
      <c r="C295" s="88">
        <v>596</v>
      </c>
      <c r="D295" s="89" t="s">
        <v>236</v>
      </c>
      <c r="E295" t="s">
        <v>747</v>
      </c>
    </row>
    <row r="296" spans="1:5" x14ac:dyDescent="0.35">
      <c r="A296" s="88">
        <v>516</v>
      </c>
      <c r="B296" s="89" t="s">
        <v>532</v>
      </c>
      <c r="C296" s="88">
        <v>516</v>
      </c>
      <c r="D296" s="89" t="s">
        <v>236</v>
      </c>
      <c r="E296" t="s">
        <v>747</v>
      </c>
    </row>
    <row r="297" spans="1:5" x14ac:dyDescent="0.35">
      <c r="A297" s="88">
        <v>719</v>
      </c>
      <c r="B297" s="89" t="s">
        <v>533</v>
      </c>
      <c r="C297" s="88">
        <v>719</v>
      </c>
      <c r="D297" s="89" t="s">
        <v>236</v>
      </c>
      <c r="E297" t="s">
        <v>747</v>
      </c>
    </row>
    <row r="298" spans="1:5" x14ac:dyDescent="0.35">
      <c r="A298" s="88">
        <v>628</v>
      </c>
      <c r="B298" s="89" t="s">
        <v>534</v>
      </c>
      <c r="C298" s="88">
        <v>628</v>
      </c>
      <c r="D298" s="89" t="s">
        <v>236</v>
      </c>
      <c r="E298" t="s">
        <v>747</v>
      </c>
    </row>
    <row r="299" spans="1:5" x14ac:dyDescent="0.35">
      <c r="A299" s="88">
        <v>697</v>
      </c>
      <c r="B299" s="89" t="s">
        <v>535</v>
      </c>
      <c r="C299" s="88">
        <v>697</v>
      </c>
      <c r="D299" s="89" t="s">
        <v>236</v>
      </c>
      <c r="E299" t="s">
        <v>747</v>
      </c>
    </row>
    <row r="300" spans="1:5" x14ac:dyDescent="0.35">
      <c r="A300" s="88">
        <v>592</v>
      </c>
      <c r="B300" s="89" t="s">
        <v>536</v>
      </c>
      <c r="C300" s="88">
        <v>592</v>
      </c>
      <c r="D300" s="89" t="s">
        <v>236</v>
      </c>
      <c r="E300" t="s">
        <v>747</v>
      </c>
    </row>
    <row r="301" spans="1:5" x14ac:dyDescent="0.35">
      <c r="A301" s="88">
        <v>587</v>
      </c>
      <c r="B301" s="89" t="s">
        <v>537</v>
      </c>
      <c r="C301" s="88">
        <v>587</v>
      </c>
      <c r="D301" s="89" t="s">
        <v>236</v>
      </c>
      <c r="E301" t="s">
        <v>747</v>
      </c>
    </row>
    <row r="302" spans="1:5" x14ac:dyDescent="0.35">
      <c r="A302" s="88">
        <v>524</v>
      </c>
      <c r="B302" s="89" t="s">
        <v>538</v>
      </c>
      <c r="C302" s="88">
        <v>524</v>
      </c>
      <c r="D302" s="89" t="s">
        <v>236</v>
      </c>
      <c r="E302" t="s">
        <v>747</v>
      </c>
    </row>
    <row r="303" spans="1:5" x14ac:dyDescent="0.35">
      <c r="A303" s="88">
        <v>620</v>
      </c>
      <c r="B303" s="89" t="s">
        <v>539</v>
      </c>
      <c r="C303" s="88">
        <v>620</v>
      </c>
      <c r="D303" s="89" t="s">
        <v>236</v>
      </c>
      <c r="E303" t="s">
        <v>747</v>
      </c>
    </row>
    <row r="304" spans="1:5" x14ac:dyDescent="0.35">
      <c r="A304" s="88">
        <v>582</v>
      </c>
      <c r="B304" s="89" t="s">
        <v>540</v>
      </c>
      <c r="C304" s="88">
        <v>582</v>
      </c>
      <c r="D304" s="89" t="s">
        <v>236</v>
      </c>
      <c r="E304" t="s">
        <v>747</v>
      </c>
    </row>
    <row r="305" spans="1:5" x14ac:dyDescent="0.35">
      <c r="A305" s="88">
        <v>716</v>
      </c>
      <c r="B305" s="89" t="s">
        <v>541</v>
      </c>
      <c r="C305" s="88">
        <v>716</v>
      </c>
      <c r="D305" s="89" t="s">
        <v>236</v>
      </c>
      <c r="E305" t="s">
        <v>747</v>
      </c>
    </row>
    <row r="306" spans="1:5" x14ac:dyDescent="0.35">
      <c r="A306" s="88">
        <v>700</v>
      </c>
      <c r="B306" s="89" t="s">
        <v>542</v>
      </c>
      <c r="C306" s="88">
        <v>700</v>
      </c>
      <c r="D306" s="89" t="s">
        <v>236</v>
      </c>
      <c r="E306" t="s">
        <v>747</v>
      </c>
    </row>
    <row r="307" spans="1:5" x14ac:dyDescent="0.35">
      <c r="A307" s="88">
        <v>540</v>
      </c>
      <c r="B307" s="89" t="s">
        <v>543</v>
      </c>
      <c r="C307" s="88">
        <v>540</v>
      </c>
      <c r="D307" s="89" t="s">
        <v>236</v>
      </c>
      <c r="E307" t="s">
        <v>747</v>
      </c>
    </row>
    <row r="308" spans="1:5" x14ac:dyDescent="0.35">
      <c r="A308" s="88">
        <v>732</v>
      </c>
      <c r="B308" s="89" t="s">
        <v>544</v>
      </c>
      <c r="C308" s="88">
        <v>732</v>
      </c>
      <c r="D308" s="89" t="s">
        <v>236</v>
      </c>
      <c r="E308" t="s">
        <v>747</v>
      </c>
    </row>
    <row r="309" spans="1:5" x14ac:dyDescent="0.35">
      <c r="A309" s="88">
        <v>650</v>
      </c>
      <c r="B309" s="89" t="s">
        <v>545</v>
      </c>
      <c r="C309" s="88">
        <v>650</v>
      </c>
      <c r="D309" s="89" t="s">
        <v>236</v>
      </c>
      <c r="E309" t="s">
        <v>747</v>
      </c>
    </row>
    <row r="310" spans="1:5" x14ac:dyDescent="0.35">
      <c r="A310" s="88">
        <v>731</v>
      </c>
      <c r="B310" s="89" t="s">
        <v>546</v>
      </c>
      <c r="C310" s="88">
        <v>731</v>
      </c>
      <c r="D310" s="89" t="s">
        <v>236</v>
      </c>
      <c r="E310" t="s">
        <v>747</v>
      </c>
    </row>
    <row r="311" spans="1:5" x14ac:dyDescent="0.35">
      <c r="A311" s="88">
        <v>704</v>
      </c>
      <c r="B311" s="89" t="s">
        <v>547</v>
      </c>
      <c r="C311" s="88">
        <v>704</v>
      </c>
      <c r="D311" s="89" t="s">
        <v>236</v>
      </c>
      <c r="E311" t="s">
        <v>747</v>
      </c>
    </row>
    <row r="312" spans="1:5" x14ac:dyDescent="0.35">
      <c r="A312" s="88">
        <v>686</v>
      </c>
      <c r="B312" s="89" t="s">
        <v>548</v>
      </c>
      <c r="C312" s="88">
        <v>686</v>
      </c>
      <c r="D312" s="89" t="s">
        <v>236</v>
      </c>
      <c r="E312" t="s">
        <v>747</v>
      </c>
    </row>
    <row r="313" spans="1:5" x14ac:dyDescent="0.35">
      <c r="A313" s="88">
        <v>623</v>
      </c>
      <c r="B313" s="89" t="s">
        <v>549</v>
      </c>
      <c r="C313" s="88">
        <v>623</v>
      </c>
      <c r="D313" s="89" t="s">
        <v>236</v>
      </c>
      <c r="E313" t="s">
        <v>747</v>
      </c>
    </row>
    <row r="314" spans="1:5" x14ac:dyDescent="0.35">
      <c r="A314" s="88">
        <v>543</v>
      </c>
      <c r="B314" s="89" t="s">
        <v>550</v>
      </c>
      <c r="C314" s="88">
        <v>543</v>
      </c>
      <c r="D314" s="89" t="s">
        <v>236</v>
      </c>
      <c r="E314" t="s">
        <v>747</v>
      </c>
    </row>
    <row r="315" spans="1:5" x14ac:dyDescent="0.35">
      <c r="A315" s="88">
        <v>564</v>
      </c>
      <c r="B315" s="89" t="s">
        <v>551</v>
      </c>
      <c r="C315" s="88">
        <v>564</v>
      </c>
      <c r="D315" s="89" t="s">
        <v>236</v>
      </c>
      <c r="E315" t="s">
        <v>747</v>
      </c>
    </row>
    <row r="316" spans="1:5" x14ac:dyDescent="0.35">
      <c r="A316" s="88">
        <v>572</v>
      </c>
      <c r="B316" s="89" t="s">
        <v>552</v>
      </c>
      <c r="C316" s="88">
        <v>572</v>
      </c>
      <c r="D316" s="89" t="s">
        <v>236</v>
      </c>
      <c r="E316" t="s">
        <v>747</v>
      </c>
    </row>
    <row r="317" spans="1:5" x14ac:dyDescent="0.35">
      <c r="A317" s="88">
        <v>631</v>
      </c>
      <c r="B317" s="89" t="s">
        <v>553</v>
      </c>
      <c r="C317" s="88">
        <v>631</v>
      </c>
      <c r="D317" s="89" t="s">
        <v>236</v>
      </c>
      <c r="E317" t="s">
        <v>747</v>
      </c>
    </row>
    <row r="318" spans="1:5" x14ac:dyDescent="0.35">
      <c r="A318" s="88">
        <v>695</v>
      </c>
      <c r="B318" s="89" t="s">
        <v>554</v>
      </c>
      <c r="C318" s="88">
        <v>695</v>
      </c>
      <c r="D318" s="89" t="s">
        <v>236</v>
      </c>
      <c r="E318" t="s">
        <v>747</v>
      </c>
    </row>
    <row r="319" spans="1:5" x14ac:dyDescent="0.35">
      <c r="A319" s="88">
        <v>747</v>
      </c>
      <c r="B319" s="89" t="s">
        <v>555</v>
      </c>
      <c r="C319" s="88">
        <v>747</v>
      </c>
      <c r="D319" s="89" t="s">
        <v>236</v>
      </c>
      <c r="E319" t="s">
        <v>747</v>
      </c>
    </row>
    <row r="320" spans="1:5" x14ac:dyDescent="0.35">
      <c r="A320" s="88">
        <v>645</v>
      </c>
      <c r="B320" s="89" t="s">
        <v>556</v>
      </c>
      <c r="C320" s="88">
        <v>645</v>
      </c>
      <c r="D320" s="89" t="s">
        <v>236</v>
      </c>
      <c r="E320" t="s">
        <v>747</v>
      </c>
    </row>
    <row r="321" spans="1:5" x14ac:dyDescent="0.35">
      <c r="A321" s="88">
        <v>591</v>
      </c>
      <c r="B321" s="89" t="s">
        <v>557</v>
      </c>
      <c r="C321" s="88">
        <v>591</v>
      </c>
      <c r="D321" s="89" t="s">
        <v>236</v>
      </c>
      <c r="E321" t="s">
        <v>747</v>
      </c>
    </row>
    <row r="322" spans="1:5" x14ac:dyDescent="0.35">
      <c r="A322" s="88">
        <v>526</v>
      </c>
      <c r="B322" s="89" t="s">
        <v>558</v>
      </c>
      <c r="C322" s="88">
        <v>526</v>
      </c>
      <c r="D322" s="89" t="s">
        <v>236</v>
      </c>
      <c r="E322" t="s">
        <v>747</v>
      </c>
    </row>
    <row r="323" spans="1:5" x14ac:dyDescent="0.35">
      <c r="A323" s="88">
        <v>577</v>
      </c>
      <c r="B323" s="89" t="s">
        <v>559</v>
      </c>
      <c r="C323" s="88">
        <v>577</v>
      </c>
      <c r="D323" s="89" t="s">
        <v>236</v>
      </c>
      <c r="E323">
        <v>577</v>
      </c>
    </row>
    <row r="324" spans="1:5" x14ac:dyDescent="0.35">
      <c r="A324" s="88">
        <v>674</v>
      </c>
      <c r="B324" s="89" t="s">
        <v>560</v>
      </c>
      <c r="C324" s="88">
        <v>674</v>
      </c>
      <c r="D324" s="89" t="s">
        <v>236</v>
      </c>
      <c r="E324" t="s">
        <v>747</v>
      </c>
    </row>
    <row r="325" spans="1:5" x14ac:dyDescent="0.35">
      <c r="A325" s="88">
        <v>616</v>
      </c>
      <c r="B325" s="89" t="s">
        <v>561</v>
      </c>
      <c r="C325" s="88">
        <v>616</v>
      </c>
      <c r="D325" s="89" t="s">
        <v>236</v>
      </c>
      <c r="E325" t="s">
        <v>747</v>
      </c>
    </row>
    <row r="326" spans="1:5" x14ac:dyDescent="0.35">
      <c r="A326" s="88">
        <v>601</v>
      </c>
      <c r="B326" s="89" t="s">
        <v>562</v>
      </c>
      <c r="C326" s="88">
        <v>601</v>
      </c>
      <c r="D326" s="89" t="s">
        <v>236</v>
      </c>
      <c r="E326" t="s">
        <v>747</v>
      </c>
    </row>
    <row r="327" spans="1:5" x14ac:dyDescent="0.35">
      <c r="A327" s="88">
        <v>566</v>
      </c>
      <c r="B327" s="89" t="s">
        <v>563</v>
      </c>
      <c r="C327" s="88">
        <v>566</v>
      </c>
      <c r="D327" s="89" t="s">
        <v>236</v>
      </c>
      <c r="E327" t="s">
        <v>747</v>
      </c>
    </row>
    <row r="328" spans="1:5" x14ac:dyDescent="0.35">
      <c r="A328" s="88">
        <v>698</v>
      </c>
      <c r="B328" s="89" t="s">
        <v>564</v>
      </c>
      <c r="C328" s="88">
        <v>698</v>
      </c>
      <c r="D328" s="89" t="s">
        <v>236</v>
      </c>
      <c r="E328" t="s">
        <v>747</v>
      </c>
    </row>
    <row r="329" spans="1:5" x14ac:dyDescent="0.35">
      <c r="A329" s="88">
        <v>648</v>
      </c>
      <c r="B329" s="89" t="s">
        <v>565</v>
      </c>
      <c r="C329" s="88">
        <v>648</v>
      </c>
      <c r="D329" s="89" t="s">
        <v>236</v>
      </c>
      <c r="E329" t="s">
        <v>747</v>
      </c>
    </row>
    <row r="330" spans="1:5" x14ac:dyDescent="0.35">
      <c r="A330" s="88">
        <v>565</v>
      </c>
      <c r="B330" s="89" t="s">
        <v>566</v>
      </c>
      <c r="C330" s="88">
        <v>565</v>
      </c>
      <c r="D330" s="89" t="s">
        <v>236</v>
      </c>
      <c r="E330" t="s">
        <v>747</v>
      </c>
    </row>
    <row r="331" spans="1:5" x14ac:dyDescent="0.35">
      <c r="A331" s="88">
        <v>536</v>
      </c>
      <c r="B331" s="89" t="s">
        <v>567</v>
      </c>
      <c r="C331" s="88">
        <v>536</v>
      </c>
      <c r="D331" s="89" t="s">
        <v>236</v>
      </c>
      <c r="E331" t="s">
        <v>747</v>
      </c>
    </row>
    <row r="332" spans="1:5" x14ac:dyDescent="0.35">
      <c r="A332" s="88">
        <v>544</v>
      </c>
      <c r="B332" s="89" t="s">
        <v>568</v>
      </c>
      <c r="C332" s="88">
        <v>544</v>
      </c>
      <c r="D332" s="89" t="s">
        <v>236</v>
      </c>
      <c r="E332">
        <v>544</v>
      </c>
    </row>
    <row r="333" spans="1:5" x14ac:dyDescent="0.35">
      <c r="A333" s="88">
        <v>532</v>
      </c>
      <c r="B333" s="89" t="s">
        <v>569</v>
      </c>
      <c r="C333" s="88">
        <v>532</v>
      </c>
      <c r="D333" s="89" t="s">
        <v>236</v>
      </c>
      <c r="E333" t="s">
        <v>747</v>
      </c>
    </row>
    <row r="334" spans="1:5" x14ac:dyDescent="0.35">
      <c r="A334" s="88">
        <v>702</v>
      </c>
      <c r="B334" s="89" t="s">
        <v>570</v>
      </c>
      <c r="C334" s="88">
        <v>702</v>
      </c>
      <c r="D334" s="89" t="s">
        <v>236</v>
      </c>
      <c r="E334" t="s">
        <v>747</v>
      </c>
    </row>
    <row r="335" spans="1:5" x14ac:dyDescent="0.35">
      <c r="A335" s="88">
        <v>710</v>
      </c>
      <c r="B335" s="89" t="s">
        <v>571</v>
      </c>
      <c r="C335" s="88">
        <v>710</v>
      </c>
      <c r="D335" s="89" t="s">
        <v>236</v>
      </c>
      <c r="E335" t="s">
        <v>747</v>
      </c>
    </row>
    <row r="336" spans="1:5" x14ac:dyDescent="0.35">
      <c r="A336" s="88">
        <v>683</v>
      </c>
      <c r="B336" s="89" t="s">
        <v>572</v>
      </c>
      <c r="C336" s="88">
        <v>683</v>
      </c>
      <c r="D336" s="89" t="s">
        <v>236</v>
      </c>
      <c r="E336" t="s">
        <v>747</v>
      </c>
    </row>
    <row r="337" spans="1:5" x14ac:dyDescent="0.35">
      <c r="A337" s="88">
        <v>627</v>
      </c>
      <c r="B337" s="89" t="s">
        <v>573</v>
      </c>
      <c r="C337" s="88">
        <v>627</v>
      </c>
      <c r="D337" s="89" t="s">
        <v>236</v>
      </c>
      <c r="E337" t="s">
        <v>747</v>
      </c>
    </row>
    <row r="338" spans="1:5" x14ac:dyDescent="0.35">
      <c r="A338" s="88">
        <v>665</v>
      </c>
      <c r="B338" s="89" t="s">
        <v>574</v>
      </c>
      <c r="C338" s="88">
        <v>665</v>
      </c>
      <c r="D338" s="89" t="s">
        <v>236</v>
      </c>
      <c r="E338" t="s">
        <v>747</v>
      </c>
    </row>
    <row r="339" spans="1:5" x14ac:dyDescent="0.35">
      <c r="A339" s="88">
        <v>661</v>
      </c>
      <c r="B339" s="89" t="s">
        <v>575</v>
      </c>
      <c r="C339" s="88">
        <v>661</v>
      </c>
      <c r="D339" s="89" t="s">
        <v>236</v>
      </c>
      <c r="E339" t="s">
        <v>747</v>
      </c>
    </row>
    <row r="340" spans="1:5" x14ac:dyDescent="0.35">
      <c r="A340" s="88">
        <v>554</v>
      </c>
      <c r="B340" s="89" t="s">
        <v>576</v>
      </c>
      <c r="C340" s="88">
        <v>554</v>
      </c>
      <c r="D340" s="89" t="s">
        <v>236</v>
      </c>
      <c r="E340" t="s">
        <v>747</v>
      </c>
    </row>
    <row r="341" spans="1:5" x14ac:dyDescent="0.35">
      <c r="A341" s="88">
        <v>579</v>
      </c>
      <c r="B341" s="89" t="s">
        <v>577</v>
      </c>
      <c r="C341" s="88">
        <v>579</v>
      </c>
      <c r="D341" s="89" t="s">
        <v>236</v>
      </c>
      <c r="E341" t="s">
        <v>747</v>
      </c>
    </row>
    <row r="342" spans="1:5" x14ac:dyDescent="0.35">
      <c r="A342" s="88">
        <v>676</v>
      </c>
      <c r="B342" s="89" t="s">
        <v>578</v>
      </c>
      <c r="C342" s="88">
        <v>676</v>
      </c>
      <c r="D342" s="89" t="s">
        <v>236</v>
      </c>
      <c r="E342" t="s">
        <v>747</v>
      </c>
    </row>
    <row r="343" spans="1:5" x14ac:dyDescent="0.35">
      <c r="A343" s="88">
        <v>728</v>
      </c>
      <c r="B343" s="89" t="s">
        <v>579</v>
      </c>
      <c r="C343" s="88">
        <v>728</v>
      </c>
      <c r="D343" s="89" t="s">
        <v>236</v>
      </c>
      <c r="E343" t="s">
        <v>747</v>
      </c>
    </row>
    <row r="344" spans="1:5" x14ac:dyDescent="0.35">
      <c r="A344" s="88">
        <v>542</v>
      </c>
      <c r="B344" s="89" t="s">
        <v>580</v>
      </c>
      <c r="C344" s="88">
        <v>542</v>
      </c>
      <c r="D344" s="89" t="s">
        <v>236</v>
      </c>
      <c r="E344" t="s">
        <v>747</v>
      </c>
    </row>
    <row r="345" spans="1:5" x14ac:dyDescent="0.35">
      <c r="A345" s="88">
        <v>556</v>
      </c>
      <c r="B345" s="89" t="s">
        <v>581</v>
      </c>
      <c r="C345" s="88">
        <v>556</v>
      </c>
      <c r="D345" s="89" t="s">
        <v>236</v>
      </c>
      <c r="E345" t="s">
        <v>747</v>
      </c>
    </row>
    <row r="346" spans="1:5" x14ac:dyDescent="0.35">
      <c r="A346" s="88">
        <v>547</v>
      </c>
      <c r="B346" s="89" t="s">
        <v>582</v>
      </c>
      <c r="C346" s="88">
        <v>547</v>
      </c>
      <c r="D346" s="89" t="s">
        <v>236</v>
      </c>
      <c r="E346" t="s">
        <v>747</v>
      </c>
    </row>
    <row r="347" spans="1:5" x14ac:dyDescent="0.35">
      <c r="A347" s="88">
        <v>619</v>
      </c>
      <c r="B347" s="89" t="s">
        <v>583</v>
      </c>
      <c r="C347" s="88">
        <v>619</v>
      </c>
      <c r="D347" s="89" t="s">
        <v>236</v>
      </c>
      <c r="E347" t="s">
        <v>747</v>
      </c>
    </row>
    <row r="348" spans="1:5" x14ac:dyDescent="0.35">
      <c r="A348" s="88">
        <v>573</v>
      </c>
      <c r="B348" s="89" t="s">
        <v>584</v>
      </c>
      <c r="C348" s="88">
        <v>573</v>
      </c>
      <c r="D348" s="89" t="s">
        <v>236</v>
      </c>
      <c r="E348" t="s">
        <v>747</v>
      </c>
    </row>
    <row r="349" spans="1:5" x14ac:dyDescent="0.35">
      <c r="A349" s="88">
        <v>646</v>
      </c>
      <c r="B349" s="89" t="s">
        <v>585</v>
      </c>
      <c r="C349" s="88">
        <v>646</v>
      </c>
      <c r="D349" s="89" t="s">
        <v>236</v>
      </c>
      <c r="E349" t="s">
        <v>747</v>
      </c>
    </row>
    <row r="350" spans="1:5" x14ac:dyDescent="0.35">
      <c r="A350" s="88">
        <v>599</v>
      </c>
      <c r="B350" s="89" t="s">
        <v>586</v>
      </c>
      <c r="C350" s="88">
        <v>599</v>
      </c>
      <c r="D350" s="89" t="s">
        <v>236</v>
      </c>
      <c r="E350" t="s">
        <v>747</v>
      </c>
    </row>
    <row r="351" spans="1:5" x14ac:dyDescent="0.35">
      <c r="A351" s="88">
        <v>541</v>
      </c>
      <c r="B351" s="89" t="s">
        <v>587</v>
      </c>
      <c r="C351" s="88">
        <v>541</v>
      </c>
      <c r="D351" s="89" t="s">
        <v>236</v>
      </c>
      <c r="E351" t="s">
        <v>747</v>
      </c>
    </row>
    <row r="352" spans="1:5" x14ac:dyDescent="0.35">
      <c r="A352" s="88">
        <v>724</v>
      </c>
      <c r="B352" s="89" t="s">
        <v>588</v>
      </c>
      <c r="C352" s="88">
        <v>724</v>
      </c>
      <c r="D352" s="89" t="s">
        <v>236</v>
      </c>
      <c r="E352" t="s">
        <v>747</v>
      </c>
    </row>
    <row r="353" spans="1:5" x14ac:dyDescent="0.35">
      <c r="A353" s="88">
        <v>664</v>
      </c>
      <c r="B353" s="89" t="s">
        <v>589</v>
      </c>
      <c r="C353" s="88">
        <v>664</v>
      </c>
      <c r="D353" s="89" t="s">
        <v>236</v>
      </c>
      <c r="E353" t="s">
        <v>747</v>
      </c>
    </row>
    <row r="354" spans="1:5" x14ac:dyDescent="0.35">
      <c r="A354" s="88">
        <v>569</v>
      </c>
      <c r="B354" s="89" t="s">
        <v>590</v>
      </c>
      <c r="C354" s="88">
        <v>569</v>
      </c>
      <c r="D354" s="89" t="s">
        <v>236</v>
      </c>
      <c r="E354" t="s">
        <v>747</v>
      </c>
    </row>
    <row r="355" spans="1:5" x14ac:dyDescent="0.35">
      <c r="A355" s="88">
        <v>523</v>
      </c>
      <c r="B355" s="89" t="s">
        <v>591</v>
      </c>
      <c r="C355" s="88">
        <v>523</v>
      </c>
      <c r="D355" s="89" t="s">
        <v>236</v>
      </c>
      <c r="E355" t="s">
        <v>747</v>
      </c>
    </row>
    <row r="356" spans="1:5" x14ac:dyDescent="0.35">
      <c r="A356" s="88">
        <v>624</v>
      </c>
      <c r="B356" s="89" t="s">
        <v>592</v>
      </c>
      <c r="C356" s="88">
        <v>624</v>
      </c>
      <c r="D356" s="89" t="s">
        <v>236</v>
      </c>
      <c r="E356" t="s">
        <v>747</v>
      </c>
    </row>
    <row r="357" spans="1:5" x14ac:dyDescent="0.35">
      <c r="A357" s="88">
        <v>736</v>
      </c>
      <c r="B357" s="89" t="s">
        <v>593</v>
      </c>
      <c r="C357" s="88">
        <v>736</v>
      </c>
      <c r="D357" s="89" t="s">
        <v>236</v>
      </c>
      <c r="E357" t="s">
        <v>747</v>
      </c>
    </row>
    <row r="358" spans="1:5" x14ac:dyDescent="0.35">
      <c r="A358" s="88">
        <v>640</v>
      </c>
      <c r="B358" s="89" t="s">
        <v>594</v>
      </c>
      <c r="C358" s="88">
        <v>640</v>
      </c>
      <c r="D358" s="89" t="s">
        <v>236</v>
      </c>
      <c r="E358" t="s">
        <v>747</v>
      </c>
    </row>
    <row r="359" spans="1:5" x14ac:dyDescent="0.35">
      <c r="A359" s="88">
        <v>604</v>
      </c>
      <c r="B359" s="89" t="s">
        <v>595</v>
      </c>
      <c r="C359" s="88">
        <v>604</v>
      </c>
      <c r="D359" s="89" t="s">
        <v>236</v>
      </c>
      <c r="E359" t="s">
        <v>747</v>
      </c>
    </row>
    <row r="360" spans="1:5" x14ac:dyDescent="0.35">
      <c r="A360" s="88">
        <v>670</v>
      </c>
      <c r="B360" s="89" t="s">
        <v>596</v>
      </c>
      <c r="C360" s="88">
        <v>670</v>
      </c>
      <c r="D360" s="89" t="s">
        <v>236</v>
      </c>
      <c r="E360" t="s">
        <v>747</v>
      </c>
    </row>
    <row r="361" spans="1:5" x14ac:dyDescent="0.35">
      <c r="A361" s="88">
        <v>671</v>
      </c>
      <c r="B361" s="89" t="s">
        <v>597</v>
      </c>
      <c r="C361" s="88">
        <v>671</v>
      </c>
      <c r="D361" s="89" t="s">
        <v>236</v>
      </c>
      <c r="E361" t="s">
        <v>747</v>
      </c>
    </row>
    <row r="362" spans="1:5" x14ac:dyDescent="0.35">
      <c r="A362" s="88">
        <v>639</v>
      </c>
      <c r="B362" s="89" t="s">
        <v>598</v>
      </c>
      <c r="C362" s="88">
        <v>639</v>
      </c>
      <c r="D362" s="89" t="s">
        <v>236</v>
      </c>
      <c r="E362" t="s">
        <v>747</v>
      </c>
    </row>
    <row r="363" spans="1:5" x14ac:dyDescent="0.35">
      <c r="A363" s="88">
        <v>590</v>
      </c>
      <c r="B363" s="89" t="s">
        <v>599</v>
      </c>
      <c r="C363" s="88">
        <v>590</v>
      </c>
      <c r="D363" s="89" t="s">
        <v>236</v>
      </c>
      <c r="E363" t="s">
        <v>747</v>
      </c>
    </row>
    <row r="364" spans="1:5" x14ac:dyDescent="0.35">
      <c r="A364" s="88">
        <v>562</v>
      </c>
      <c r="B364" s="89" t="s">
        <v>600</v>
      </c>
      <c r="C364" s="88">
        <v>562</v>
      </c>
      <c r="D364" s="89" t="s">
        <v>236</v>
      </c>
      <c r="E364" t="s">
        <v>747</v>
      </c>
    </row>
    <row r="365" spans="1:5" x14ac:dyDescent="0.35">
      <c r="A365" s="88">
        <v>621</v>
      </c>
      <c r="B365" s="89" t="s">
        <v>601</v>
      </c>
      <c r="C365" s="88">
        <v>621</v>
      </c>
      <c r="D365" s="89" t="s">
        <v>236</v>
      </c>
      <c r="E365" t="s">
        <v>747</v>
      </c>
    </row>
    <row r="366" spans="1:5" x14ac:dyDescent="0.35">
      <c r="A366" s="88">
        <v>748</v>
      </c>
      <c r="B366" s="89" t="s">
        <v>602</v>
      </c>
      <c r="C366" s="88">
        <v>748</v>
      </c>
      <c r="D366" s="89" t="s">
        <v>236</v>
      </c>
      <c r="E366" t="s">
        <v>747</v>
      </c>
    </row>
    <row r="367" spans="1:5" x14ac:dyDescent="0.35">
      <c r="A367" s="88">
        <v>617</v>
      </c>
      <c r="B367" s="89" t="s">
        <v>603</v>
      </c>
      <c r="C367" s="88">
        <v>617</v>
      </c>
      <c r="D367" s="89" t="s">
        <v>236</v>
      </c>
      <c r="E367" t="s">
        <v>747</v>
      </c>
    </row>
    <row r="368" spans="1:5" x14ac:dyDescent="0.35">
      <c r="A368" s="88">
        <v>598</v>
      </c>
      <c r="B368" s="89" t="s">
        <v>604</v>
      </c>
      <c r="C368" s="88">
        <v>598</v>
      </c>
      <c r="D368" s="89" t="s">
        <v>236</v>
      </c>
      <c r="E368" t="s">
        <v>747</v>
      </c>
    </row>
    <row r="369" spans="1:5" x14ac:dyDescent="0.35">
      <c r="A369" s="88">
        <v>593</v>
      </c>
      <c r="B369" s="89" t="s">
        <v>605</v>
      </c>
      <c r="C369" s="88">
        <v>593</v>
      </c>
      <c r="D369" s="89" t="s">
        <v>236</v>
      </c>
      <c r="E369" t="s">
        <v>747</v>
      </c>
    </row>
    <row r="370" spans="1:5" x14ac:dyDescent="0.35">
      <c r="A370" s="88">
        <v>594</v>
      </c>
      <c r="B370" s="89" t="s">
        <v>606</v>
      </c>
      <c r="C370" s="88">
        <v>594</v>
      </c>
      <c r="D370" s="89" t="s">
        <v>236</v>
      </c>
      <c r="E370" t="s">
        <v>747</v>
      </c>
    </row>
    <row r="371" spans="1:5" x14ac:dyDescent="0.35">
      <c r="A371" s="88">
        <v>537</v>
      </c>
      <c r="B371" s="89" t="s">
        <v>607</v>
      </c>
      <c r="C371" s="88">
        <v>537</v>
      </c>
      <c r="D371" s="89" t="s">
        <v>236</v>
      </c>
      <c r="E371" t="s">
        <v>747</v>
      </c>
    </row>
    <row r="372" spans="1:5" x14ac:dyDescent="0.35">
      <c r="A372" s="88">
        <v>563</v>
      </c>
      <c r="B372" s="89" t="s">
        <v>608</v>
      </c>
      <c r="C372" s="88">
        <v>563</v>
      </c>
      <c r="D372" s="89" t="s">
        <v>236</v>
      </c>
      <c r="E372" t="s">
        <v>747</v>
      </c>
    </row>
    <row r="373" spans="1:5" x14ac:dyDescent="0.35">
      <c r="A373" s="88">
        <v>652</v>
      </c>
      <c r="B373" s="89" t="s">
        <v>609</v>
      </c>
      <c r="C373" s="88">
        <v>652</v>
      </c>
      <c r="D373" s="89" t="s">
        <v>236</v>
      </c>
      <c r="E373" t="s">
        <v>747</v>
      </c>
    </row>
    <row r="374" spans="1:5" x14ac:dyDescent="0.35">
      <c r="A374" s="88">
        <v>667</v>
      </c>
      <c r="B374" s="89" t="s">
        <v>610</v>
      </c>
      <c r="C374" s="88">
        <v>667</v>
      </c>
      <c r="D374" s="89" t="s">
        <v>236</v>
      </c>
      <c r="E374" t="s">
        <v>747</v>
      </c>
    </row>
    <row r="375" spans="1:5" x14ac:dyDescent="0.35">
      <c r="A375" s="88">
        <v>713</v>
      </c>
      <c r="B375" s="89" t="s">
        <v>611</v>
      </c>
      <c r="C375" s="88">
        <v>713</v>
      </c>
      <c r="D375" s="89" t="s">
        <v>236</v>
      </c>
      <c r="E375" t="s">
        <v>747</v>
      </c>
    </row>
    <row r="376" spans="1:5" x14ac:dyDescent="0.35">
      <c r="A376" s="88">
        <v>688</v>
      </c>
      <c r="B376" s="89" t="s">
        <v>612</v>
      </c>
      <c r="C376" s="88">
        <v>688</v>
      </c>
      <c r="D376" s="89" t="s">
        <v>236</v>
      </c>
      <c r="E376" t="s">
        <v>747</v>
      </c>
    </row>
    <row r="377" spans="1:5" x14ac:dyDescent="0.35">
      <c r="A377" s="88">
        <v>739</v>
      </c>
      <c r="B377" s="89" t="s">
        <v>613</v>
      </c>
      <c r="C377" s="88">
        <v>739</v>
      </c>
      <c r="D377" s="89" t="s">
        <v>236</v>
      </c>
      <c r="E377">
        <v>739</v>
      </c>
    </row>
    <row r="378" spans="1:5" x14ac:dyDescent="0.35">
      <c r="A378" s="88">
        <v>576</v>
      </c>
      <c r="B378" s="89" t="s">
        <v>614</v>
      </c>
      <c r="C378" s="88">
        <v>576</v>
      </c>
      <c r="D378" s="89" t="s">
        <v>236</v>
      </c>
      <c r="E378">
        <v>576</v>
      </c>
    </row>
    <row r="379" spans="1:5" x14ac:dyDescent="0.35">
      <c r="A379" s="88">
        <v>518</v>
      </c>
      <c r="B379" s="89" t="s">
        <v>615</v>
      </c>
      <c r="C379" s="88">
        <v>518</v>
      </c>
      <c r="D379" s="89" t="s">
        <v>236</v>
      </c>
      <c r="E379" t="s">
        <v>747</v>
      </c>
    </row>
    <row r="380" spans="1:5" x14ac:dyDescent="0.35">
      <c r="A380" s="88">
        <v>690</v>
      </c>
      <c r="B380" s="89" t="s">
        <v>616</v>
      </c>
      <c r="C380" s="88">
        <v>690</v>
      </c>
      <c r="D380" s="89" t="s">
        <v>236</v>
      </c>
      <c r="E380" t="s">
        <v>747</v>
      </c>
    </row>
    <row r="381" spans="1:5" x14ac:dyDescent="0.35">
      <c r="A381" s="88">
        <v>675</v>
      </c>
      <c r="B381" s="89" t="s">
        <v>617</v>
      </c>
      <c r="C381" s="88">
        <v>675</v>
      </c>
      <c r="D381" s="89" t="s">
        <v>236</v>
      </c>
      <c r="E381" t="s">
        <v>747</v>
      </c>
    </row>
    <row r="382" spans="1:5" x14ac:dyDescent="0.35">
      <c r="A382" s="88">
        <v>703</v>
      </c>
      <c r="B382" s="89" t="s">
        <v>618</v>
      </c>
      <c r="C382" s="88">
        <v>703</v>
      </c>
      <c r="D382" s="89" t="s">
        <v>236</v>
      </c>
      <c r="E382" t="s">
        <v>747</v>
      </c>
    </row>
    <row r="383" spans="1:5" x14ac:dyDescent="0.35">
      <c r="A383" s="88">
        <v>644</v>
      </c>
      <c r="B383" s="89" t="s">
        <v>619</v>
      </c>
      <c r="C383" s="88">
        <v>644</v>
      </c>
      <c r="D383" s="89" t="s">
        <v>236</v>
      </c>
      <c r="E383" t="s">
        <v>747</v>
      </c>
    </row>
    <row r="384" spans="1:5" x14ac:dyDescent="0.35">
      <c r="A384" s="88">
        <v>588</v>
      </c>
      <c r="B384" s="89" t="s">
        <v>620</v>
      </c>
      <c r="C384" s="88">
        <v>588</v>
      </c>
      <c r="D384" s="89" t="s">
        <v>236</v>
      </c>
      <c r="E384" t="s">
        <v>747</v>
      </c>
    </row>
    <row r="385" spans="1:5" x14ac:dyDescent="0.35">
      <c r="A385" s="88">
        <v>571</v>
      </c>
      <c r="B385" s="89" t="s">
        <v>621</v>
      </c>
      <c r="C385" s="88">
        <v>571</v>
      </c>
      <c r="D385" s="89" t="s">
        <v>236</v>
      </c>
      <c r="E385" t="s">
        <v>747</v>
      </c>
    </row>
    <row r="386" spans="1:5" x14ac:dyDescent="0.35">
      <c r="A386" s="88">
        <v>558</v>
      </c>
      <c r="B386" s="89" t="s">
        <v>622</v>
      </c>
      <c r="C386" s="88">
        <v>558</v>
      </c>
      <c r="D386" s="89" t="s">
        <v>236</v>
      </c>
      <c r="E386" t="s">
        <v>747</v>
      </c>
    </row>
    <row r="387" spans="1:5" x14ac:dyDescent="0.35">
      <c r="A387" s="88">
        <v>584</v>
      </c>
      <c r="B387" s="89" t="s">
        <v>623</v>
      </c>
      <c r="C387" s="88">
        <v>584</v>
      </c>
      <c r="D387" s="89" t="s">
        <v>236</v>
      </c>
      <c r="E387" t="s">
        <v>747</v>
      </c>
    </row>
    <row r="388" spans="1:5" x14ac:dyDescent="0.35">
      <c r="A388" s="88">
        <v>668</v>
      </c>
      <c r="B388" s="89" t="s">
        <v>624</v>
      </c>
      <c r="C388" s="88">
        <v>668</v>
      </c>
      <c r="D388" s="89" t="s">
        <v>236</v>
      </c>
      <c r="E388" t="s">
        <v>747</v>
      </c>
    </row>
    <row r="389" spans="1:5" x14ac:dyDescent="0.35">
      <c r="A389" s="88">
        <v>622</v>
      </c>
      <c r="B389" s="89" t="s">
        <v>625</v>
      </c>
      <c r="C389" s="88">
        <v>622</v>
      </c>
      <c r="D389" s="89" t="s">
        <v>236</v>
      </c>
      <c r="E389" t="s">
        <v>747</v>
      </c>
    </row>
    <row r="390" spans="1:5" x14ac:dyDescent="0.35">
      <c r="A390" s="88">
        <v>580</v>
      </c>
      <c r="B390" s="89" t="s">
        <v>626</v>
      </c>
      <c r="C390" s="88">
        <v>580</v>
      </c>
      <c r="D390" s="89" t="s">
        <v>236</v>
      </c>
      <c r="E390" t="s">
        <v>747</v>
      </c>
    </row>
    <row r="391" spans="1:5" x14ac:dyDescent="0.35">
      <c r="A391" s="88">
        <v>546</v>
      </c>
      <c r="B391" s="89" t="s">
        <v>627</v>
      </c>
      <c r="C391" s="88">
        <v>546</v>
      </c>
      <c r="D391" s="89" t="s">
        <v>236</v>
      </c>
      <c r="E391" t="s">
        <v>747</v>
      </c>
    </row>
    <row r="392" spans="1:5" x14ac:dyDescent="0.35">
      <c r="A392" s="88">
        <v>730</v>
      </c>
      <c r="B392" s="89" t="s">
        <v>628</v>
      </c>
      <c r="C392" s="88">
        <v>730</v>
      </c>
      <c r="D392" s="89" t="s">
        <v>236</v>
      </c>
      <c r="E392" t="s">
        <v>747</v>
      </c>
    </row>
    <row r="393" spans="1:5" x14ac:dyDescent="0.35">
      <c r="A393" s="88">
        <v>654</v>
      </c>
      <c r="B393" s="89" t="s">
        <v>629</v>
      </c>
      <c r="C393" s="88">
        <v>654</v>
      </c>
      <c r="D393" s="89" t="s">
        <v>236</v>
      </c>
      <c r="E393" t="s">
        <v>747</v>
      </c>
    </row>
    <row r="394" spans="1:5" x14ac:dyDescent="0.35">
      <c r="A394" s="88">
        <v>687</v>
      </c>
      <c r="B394" s="89" t="s">
        <v>630</v>
      </c>
      <c r="C394" s="88">
        <v>687</v>
      </c>
      <c r="D394" s="89" t="s">
        <v>236</v>
      </c>
      <c r="E394" t="s">
        <v>747</v>
      </c>
    </row>
    <row r="395" spans="1:5" x14ac:dyDescent="0.35">
      <c r="A395" s="88">
        <v>367</v>
      </c>
      <c r="B395" s="89" t="s">
        <v>631</v>
      </c>
      <c r="C395" s="88">
        <v>367</v>
      </c>
      <c r="D395" s="89" t="s">
        <v>236</v>
      </c>
      <c r="E395" t="s">
        <v>747</v>
      </c>
    </row>
    <row r="396" spans="1:5" x14ac:dyDescent="0.35">
      <c r="A396" s="88">
        <v>480</v>
      </c>
      <c r="B396" s="89" t="s">
        <v>632</v>
      </c>
      <c r="C396" s="88">
        <v>480</v>
      </c>
      <c r="D396" s="89" t="s">
        <v>236</v>
      </c>
      <c r="E396" t="s">
        <v>747</v>
      </c>
    </row>
    <row r="397" spans="1:5" x14ac:dyDescent="0.35">
      <c r="A397" s="88">
        <v>505</v>
      </c>
      <c r="B397" s="89" t="s">
        <v>633</v>
      </c>
      <c r="C397" s="88">
        <v>505</v>
      </c>
      <c r="D397" s="89" t="s">
        <v>236</v>
      </c>
      <c r="E397" t="s">
        <v>747</v>
      </c>
    </row>
    <row r="398" spans="1:5" x14ac:dyDescent="0.35">
      <c r="A398" s="88">
        <v>507</v>
      </c>
      <c r="B398" s="89" t="s">
        <v>634</v>
      </c>
      <c r="C398" s="88">
        <v>507</v>
      </c>
      <c r="D398" s="89" t="s">
        <v>236</v>
      </c>
      <c r="E398" t="s">
        <v>747</v>
      </c>
    </row>
    <row r="399" spans="1:5" x14ac:dyDescent="0.35">
      <c r="A399" s="88">
        <v>607</v>
      </c>
      <c r="B399" s="89" t="s">
        <v>635</v>
      </c>
      <c r="C399" s="88">
        <v>607</v>
      </c>
      <c r="D399" s="89" t="s">
        <v>236</v>
      </c>
      <c r="E399" t="s">
        <v>747</v>
      </c>
    </row>
    <row r="400" spans="1:5" x14ac:dyDescent="0.35">
      <c r="A400" s="88">
        <v>489</v>
      </c>
      <c r="B400" s="89" t="s">
        <v>636</v>
      </c>
      <c r="C400" s="88">
        <v>489</v>
      </c>
      <c r="D400" s="89" t="s">
        <v>236</v>
      </c>
      <c r="E400" t="s">
        <v>747</v>
      </c>
    </row>
    <row r="401" spans="1:5" x14ac:dyDescent="0.35">
      <c r="A401" s="88">
        <v>409</v>
      </c>
      <c r="B401" s="89" t="s">
        <v>637</v>
      </c>
      <c r="C401" s="88">
        <v>409</v>
      </c>
      <c r="D401" s="89" t="s">
        <v>236</v>
      </c>
      <c r="E401" t="s">
        <v>747</v>
      </c>
    </row>
    <row r="402" spans="1:5" x14ac:dyDescent="0.35">
      <c r="A402" s="88">
        <v>642</v>
      </c>
      <c r="B402" s="89" t="s">
        <v>638</v>
      </c>
      <c r="C402" s="88">
        <v>642</v>
      </c>
      <c r="D402" s="89" t="s">
        <v>236</v>
      </c>
      <c r="E402" t="s">
        <v>747</v>
      </c>
    </row>
    <row r="403" spans="1:5" x14ac:dyDescent="0.35">
      <c r="A403" s="88">
        <v>438</v>
      </c>
      <c r="B403" s="89" t="s">
        <v>639</v>
      </c>
      <c r="C403" s="88">
        <v>438</v>
      </c>
      <c r="D403" s="89" t="s">
        <v>236</v>
      </c>
      <c r="E403" t="s">
        <v>747</v>
      </c>
    </row>
    <row r="404" spans="1:5" x14ac:dyDescent="0.35">
      <c r="A404" s="88">
        <v>352</v>
      </c>
      <c r="B404" s="89" t="s">
        <v>640</v>
      </c>
      <c r="C404" s="88">
        <v>352</v>
      </c>
      <c r="D404" s="89" t="s">
        <v>236</v>
      </c>
      <c r="E404" t="s">
        <v>747</v>
      </c>
    </row>
    <row r="405" spans="1:5" x14ac:dyDescent="0.35">
      <c r="A405" s="88">
        <v>461</v>
      </c>
      <c r="B405" s="89" t="s">
        <v>641</v>
      </c>
      <c r="C405" s="88">
        <v>461</v>
      </c>
      <c r="D405" s="89" t="s">
        <v>236</v>
      </c>
      <c r="E405" t="s">
        <v>747</v>
      </c>
    </row>
    <row r="406" spans="1:5" x14ac:dyDescent="0.35">
      <c r="A406" s="88">
        <v>414</v>
      </c>
      <c r="B406" s="89" t="s">
        <v>642</v>
      </c>
      <c r="C406" s="88">
        <v>414</v>
      </c>
      <c r="D406" s="89" t="s">
        <v>236</v>
      </c>
      <c r="E406" t="s">
        <v>747</v>
      </c>
    </row>
    <row r="407" spans="1:5" x14ac:dyDescent="0.35">
      <c r="A407" s="88">
        <v>362</v>
      </c>
      <c r="B407" s="89" t="s">
        <v>643</v>
      </c>
      <c r="C407" s="88">
        <v>362</v>
      </c>
      <c r="D407" s="89" t="s">
        <v>236</v>
      </c>
      <c r="E407" t="s">
        <v>747</v>
      </c>
    </row>
    <row r="408" spans="1:5" x14ac:dyDescent="0.35">
      <c r="A408" s="88">
        <v>437</v>
      </c>
      <c r="B408" s="89" t="s">
        <v>644</v>
      </c>
      <c r="C408" s="88">
        <v>437</v>
      </c>
      <c r="D408" s="89" t="s">
        <v>236</v>
      </c>
      <c r="E408" t="s">
        <v>747</v>
      </c>
    </row>
    <row r="409" spans="1:5" x14ac:dyDescent="0.35">
      <c r="A409" s="88">
        <v>475</v>
      </c>
      <c r="B409" s="89" t="s">
        <v>645</v>
      </c>
      <c r="C409" s="88">
        <v>475</v>
      </c>
      <c r="D409" s="89" t="s">
        <v>236</v>
      </c>
      <c r="E409" t="s">
        <v>747</v>
      </c>
    </row>
    <row r="410" spans="1:5" x14ac:dyDescent="0.35">
      <c r="A410" s="88">
        <v>512</v>
      </c>
      <c r="B410" s="89" t="s">
        <v>646</v>
      </c>
      <c r="C410" s="88">
        <v>512</v>
      </c>
      <c r="D410" s="89" t="s">
        <v>236</v>
      </c>
      <c r="E410" t="s">
        <v>747</v>
      </c>
    </row>
    <row r="411" spans="1:5" x14ac:dyDescent="0.35">
      <c r="A411" s="88">
        <v>442</v>
      </c>
      <c r="B411" s="89" t="s">
        <v>647</v>
      </c>
      <c r="C411" s="88">
        <v>442</v>
      </c>
      <c r="D411" s="89" t="s">
        <v>236</v>
      </c>
      <c r="E411" t="s">
        <v>747</v>
      </c>
    </row>
    <row r="412" spans="1:5" x14ac:dyDescent="0.35">
      <c r="A412" s="88">
        <v>424</v>
      </c>
      <c r="B412" s="89" t="s">
        <v>648</v>
      </c>
      <c r="C412" s="88">
        <v>424</v>
      </c>
      <c r="D412" s="89" t="s">
        <v>236</v>
      </c>
      <c r="E412" t="s">
        <v>747</v>
      </c>
    </row>
    <row r="413" spans="1:5" x14ac:dyDescent="0.35">
      <c r="A413" s="88">
        <v>458</v>
      </c>
      <c r="B413" s="89" t="s">
        <v>649</v>
      </c>
      <c r="C413" s="88">
        <v>458</v>
      </c>
      <c r="D413" s="89" t="s">
        <v>236</v>
      </c>
      <c r="E413" t="s">
        <v>747</v>
      </c>
    </row>
    <row r="414" spans="1:5" x14ac:dyDescent="0.35">
      <c r="A414" s="88">
        <v>371</v>
      </c>
      <c r="B414" s="89" t="s">
        <v>650</v>
      </c>
      <c r="C414" s="88">
        <v>371</v>
      </c>
      <c r="D414" s="89" t="s">
        <v>236</v>
      </c>
      <c r="E414" t="s">
        <v>747</v>
      </c>
    </row>
    <row r="415" spans="1:5" x14ac:dyDescent="0.35">
      <c r="A415" s="88">
        <v>429</v>
      </c>
      <c r="B415" s="89" t="s">
        <v>651</v>
      </c>
      <c r="C415" s="88">
        <v>429</v>
      </c>
      <c r="D415" s="89" t="s">
        <v>236</v>
      </c>
      <c r="E415" t="s">
        <v>747</v>
      </c>
    </row>
    <row r="416" spans="1:5" x14ac:dyDescent="0.35">
      <c r="A416" s="88">
        <v>184</v>
      </c>
      <c r="B416" s="89" t="s">
        <v>652</v>
      </c>
      <c r="C416" s="88">
        <v>184</v>
      </c>
      <c r="D416" s="89" t="s">
        <v>236</v>
      </c>
      <c r="E416" t="s">
        <v>747</v>
      </c>
    </row>
    <row r="417" spans="1:5" x14ac:dyDescent="0.35">
      <c r="A417" s="88">
        <v>476</v>
      </c>
      <c r="B417" s="89" t="s">
        <v>653</v>
      </c>
      <c r="C417" s="88">
        <v>476</v>
      </c>
      <c r="D417" s="89" t="s">
        <v>236</v>
      </c>
      <c r="E417" t="s">
        <v>747</v>
      </c>
    </row>
    <row r="418" spans="1:5" x14ac:dyDescent="0.35">
      <c r="A418" s="88">
        <v>510</v>
      </c>
      <c r="B418" s="89" t="s">
        <v>654</v>
      </c>
      <c r="C418" s="88">
        <v>510</v>
      </c>
      <c r="D418" s="89" t="s">
        <v>236</v>
      </c>
      <c r="E418" t="s">
        <v>747</v>
      </c>
    </row>
    <row r="419" spans="1:5" x14ac:dyDescent="0.35">
      <c r="A419" s="88">
        <v>487</v>
      </c>
      <c r="B419" s="89" t="s">
        <v>655</v>
      </c>
      <c r="C419" s="88">
        <v>487</v>
      </c>
      <c r="D419" s="89" t="s">
        <v>236</v>
      </c>
      <c r="E419" t="s">
        <v>747</v>
      </c>
    </row>
    <row r="420" spans="1:5" x14ac:dyDescent="0.35">
      <c r="A420" s="88">
        <v>509</v>
      </c>
      <c r="B420" s="89" t="s">
        <v>656</v>
      </c>
      <c r="C420" s="88">
        <v>509</v>
      </c>
      <c r="D420" s="89" t="s">
        <v>236</v>
      </c>
      <c r="E420">
        <v>509</v>
      </c>
    </row>
    <row r="421" spans="1:5" x14ac:dyDescent="0.35">
      <c r="A421" s="88">
        <v>485</v>
      </c>
      <c r="B421" s="89" t="s">
        <v>657</v>
      </c>
      <c r="C421" s="88">
        <v>485</v>
      </c>
      <c r="D421" s="89" t="s">
        <v>236</v>
      </c>
      <c r="E421" t="s">
        <v>747</v>
      </c>
    </row>
    <row r="422" spans="1:5" x14ac:dyDescent="0.35">
      <c r="A422" s="88">
        <v>506</v>
      </c>
      <c r="B422" s="89" t="s">
        <v>658</v>
      </c>
      <c r="C422" s="88">
        <v>506</v>
      </c>
      <c r="D422" s="89" t="s">
        <v>236</v>
      </c>
      <c r="E422" t="s">
        <v>747</v>
      </c>
    </row>
    <row r="423" spans="1:5" x14ac:dyDescent="0.35">
      <c r="A423" s="88">
        <v>363</v>
      </c>
      <c r="B423" s="89" t="s">
        <v>659</v>
      </c>
      <c r="C423" s="88">
        <v>363</v>
      </c>
      <c r="D423" s="89" t="s">
        <v>236</v>
      </c>
      <c r="E423" t="s">
        <v>747</v>
      </c>
    </row>
    <row r="424" spans="1:5" x14ac:dyDescent="0.35">
      <c r="A424" s="88">
        <v>441</v>
      </c>
      <c r="B424" s="89" t="s">
        <v>660</v>
      </c>
      <c r="C424" s="88">
        <v>441</v>
      </c>
      <c r="D424" s="89" t="s">
        <v>236</v>
      </c>
      <c r="E424" t="s">
        <v>747</v>
      </c>
    </row>
    <row r="425" spans="1:5" x14ac:dyDescent="0.35">
      <c r="A425" s="88">
        <v>511</v>
      </c>
      <c r="B425" s="89" t="s">
        <v>661</v>
      </c>
      <c r="C425" s="88">
        <v>511</v>
      </c>
      <c r="D425" s="89" t="s">
        <v>236</v>
      </c>
      <c r="E425">
        <v>511</v>
      </c>
    </row>
    <row r="426" spans="1:5" x14ac:dyDescent="0.35">
      <c r="A426" s="88">
        <v>502</v>
      </c>
      <c r="B426" s="89" t="s">
        <v>662</v>
      </c>
      <c r="C426" s="88">
        <v>502</v>
      </c>
      <c r="D426" s="89" t="s">
        <v>236</v>
      </c>
      <c r="E426" t="s">
        <v>747</v>
      </c>
    </row>
    <row r="427" spans="1:5" x14ac:dyDescent="0.35">
      <c r="A427" s="88">
        <v>374</v>
      </c>
      <c r="B427" s="89" t="s">
        <v>663</v>
      </c>
      <c r="C427" s="88">
        <v>374</v>
      </c>
      <c r="D427" s="89" t="s">
        <v>236</v>
      </c>
      <c r="E427">
        <v>374</v>
      </c>
    </row>
    <row r="428" spans="1:5" x14ac:dyDescent="0.35">
      <c r="A428" s="88">
        <v>361</v>
      </c>
      <c r="B428" s="89" t="s">
        <v>664</v>
      </c>
      <c r="C428" s="88">
        <v>361</v>
      </c>
      <c r="D428" s="89" t="s">
        <v>236</v>
      </c>
      <c r="E428" t="s">
        <v>747</v>
      </c>
    </row>
    <row r="429" spans="1:5" x14ac:dyDescent="0.35">
      <c r="A429" s="88">
        <v>322</v>
      </c>
      <c r="B429" s="89" t="s">
        <v>665</v>
      </c>
      <c r="C429" s="88">
        <v>322</v>
      </c>
      <c r="D429" s="89" t="s">
        <v>236</v>
      </c>
      <c r="E429" t="s">
        <v>747</v>
      </c>
    </row>
    <row r="430" spans="1:5" x14ac:dyDescent="0.35">
      <c r="A430" s="88">
        <v>460</v>
      </c>
      <c r="B430" s="89" t="s">
        <v>666</v>
      </c>
      <c r="C430" s="88">
        <v>460</v>
      </c>
      <c r="D430" s="89" t="s">
        <v>236</v>
      </c>
      <c r="E430" t="s">
        <v>747</v>
      </c>
    </row>
    <row r="431" spans="1:5" x14ac:dyDescent="0.35">
      <c r="A431" s="88">
        <v>611</v>
      </c>
      <c r="B431" s="89" t="s">
        <v>667</v>
      </c>
      <c r="C431" s="88">
        <v>611</v>
      </c>
      <c r="D431" s="89" t="s">
        <v>236</v>
      </c>
      <c r="E431" t="s">
        <v>747</v>
      </c>
    </row>
    <row r="432" spans="1:5" x14ac:dyDescent="0.35">
      <c r="A432" s="88">
        <v>634</v>
      </c>
      <c r="B432" s="89" t="s">
        <v>668</v>
      </c>
      <c r="C432" s="88">
        <v>634</v>
      </c>
      <c r="D432" s="89" t="s">
        <v>236</v>
      </c>
      <c r="E432" t="s">
        <v>747</v>
      </c>
    </row>
    <row r="433" spans="1:5" x14ac:dyDescent="0.35">
      <c r="A433" s="88">
        <v>632</v>
      </c>
      <c r="B433" s="89" t="s">
        <v>669</v>
      </c>
      <c r="C433" s="88">
        <v>632</v>
      </c>
      <c r="D433" s="89" t="s">
        <v>236</v>
      </c>
      <c r="E433" t="s">
        <v>747</v>
      </c>
    </row>
    <row r="434" spans="1:5" x14ac:dyDescent="0.35">
      <c r="A434" s="88">
        <v>449</v>
      </c>
      <c r="B434" s="89" t="s">
        <v>670</v>
      </c>
      <c r="C434" s="88">
        <v>449</v>
      </c>
      <c r="D434" s="89" t="s">
        <v>236</v>
      </c>
      <c r="E434" t="s">
        <v>747</v>
      </c>
    </row>
    <row r="435" spans="1:5" x14ac:dyDescent="0.35">
      <c r="A435" s="88">
        <v>343</v>
      </c>
      <c r="B435" s="89" t="s">
        <v>671</v>
      </c>
      <c r="C435" s="88">
        <v>343</v>
      </c>
      <c r="D435" s="89" t="s">
        <v>236</v>
      </c>
      <c r="E435" t="s">
        <v>747</v>
      </c>
    </row>
    <row r="436" spans="1:5" x14ac:dyDescent="0.35">
      <c r="A436" s="88">
        <v>657</v>
      </c>
      <c r="B436" s="89" t="s">
        <v>672</v>
      </c>
      <c r="C436" s="88">
        <v>657</v>
      </c>
      <c r="D436" s="89" t="s">
        <v>236</v>
      </c>
      <c r="E436" t="s">
        <v>747</v>
      </c>
    </row>
    <row r="437" spans="1:5" x14ac:dyDescent="0.35">
      <c r="A437" s="88">
        <v>504</v>
      </c>
      <c r="B437" s="89" t="s">
        <v>673</v>
      </c>
      <c r="C437" s="88">
        <v>504</v>
      </c>
      <c r="D437" s="89" t="s">
        <v>236</v>
      </c>
      <c r="E437" t="s">
        <v>747</v>
      </c>
    </row>
    <row r="438" spans="1:5" x14ac:dyDescent="0.35">
      <c r="A438" s="88">
        <v>358</v>
      </c>
      <c r="B438" s="89" t="s">
        <v>674</v>
      </c>
      <c r="C438" s="88">
        <v>358</v>
      </c>
      <c r="D438" s="89" t="s">
        <v>236</v>
      </c>
      <c r="E438" t="s">
        <v>747</v>
      </c>
    </row>
    <row r="439" spans="1:5" x14ac:dyDescent="0.35">
      <c r="A439" s="88">
        <v>394</v>
      </c>
      <c r="B439" s="89" t="s">
        <v>675</v>
      </c>
      <c r="C439" s="88">
        <v>394</v>
      </c>
      <c r="D439" s="89" t="s">
        <v>236</v>
      </c>
      <c r="E439" t="s">
        <v>747</v>
      </c>
    </row>
    <row r="440" spans="1:5" x14ac:dyDescent="0.35">
      <c r="A440" s="88">
        <v>182</v>
      </c>
      <c r="B440" s="89" t="s">
        <v>676</v>
      </c>
      <c r="C440" s="88">
        <v>182</v>
      </c>
      <c r="D440" s="89" t="s">
        <v>236</v>
      </c>
      <c r="E440" t="s">
        <v>747</v>
      </c>
    </row>
    <row r="441" spans="1:5" x14ac:dyDescent="0.35">
      <c r="A441" s="88">
        <v>751</v>
      </c>
      <c r="B441" s="89" t="s">
        <v>677</v>
      </c>
      <c r="C441" s="88">
        <v>751</v>
      </c>
      <c r="D441" s="89" t="s">
        <v>236</v>
      </c>
      <c r="E441">
        <v>751</v>
      </c>
    </row>
    <row r="442" spans="1:5" x14ac:dyDescent="0.35">
      <c r="A442" s="88">
        <v>345</v>
      </c>
      <c r="B442" s="89" t="s">
        <v>678</v>
      </c>
      <c r="C442" s="88">
        <v>345</v>
      </c>
      <c r="D442" s="89" t="s">
        <v>236</v>
      </c>
      <c r="E442">
        <v>345</v>
      </c>
    </row>
    <row r="443" spans="1:5" x14ac:dyDescent="0.35">
      <c r="A443" s="88">
        <v>412</v>
      </c>
      <c r="B443" s="89" t="s">
        <v>679</v>
      </c>
      <c r="C443" s="88">
        <v>412</v>
      </c>
      <c r="D443" s="89" t="s">
        <v>236</v>
      </c>
      <c r="E443" t="s">
        <v>747</v>
      </c>
    </row>
    <row r="444" spans="1:5" x14ac:dyDescent="0.35">
      <c r="A444" s="88">
        <v>606</v>
      </c>
      <c r="B444" s="89" t="s">
        <v>680</v>
      </c>
      <c r="C444" s="88">
        <v>606</v>
      </c>
      <c r="D444" s="89" t="s">
        <v>236</v>
      </c>
      <c r="E444" t="s">
        <v>747</v>
      </c>
    </row>
    <row r="445" spans="1:5" x14ac:dyDescent="0.35">
      <c r="A445" s="88">
        <v>484</v>
      </c>
      <c r="B445" s="89" t="s">
        <v>681</v>
      </c>
      <c r="C445" s="88">
        <v>484</v>
      </c>
      <c r="D445" s="89" t="s">
        <v>236</v>
      </c>
      <c r="E445" t="s">
        <v>747</v>
      </c>
    </row>
    <row r="446" spans="1:5" x14ac:dyDescent="0.35">
      <c r="A446" s="88">
        <v>451</v>
      </c>
      <c r="B446" s="89" t="s">
        <v>682</v>
      </c>
      <c r="C446" s="88">
        <v>451</v>
      </c>
      <c r="D446" s="89" t="s">
        <v>236</v>
      </c>
      <c r="E446" t="s">
        <v>747</v>
      </c>
    </row>
    <row r="447" spans="1:5" x14ac:dyDescent="0.35">
      <c r="A447" s="88">
        <v>633</v>
      </c>
      <c r="B447" s="89" t="s">
        <v>683</v>
      </c>
      <c r="C447" s="88">
        <v>633</v>
      </c>
      <c r="D447" s="89" t="s">
        <v>236</v>
      </c>
      <c r="E447" t="s">
        <v>747</v>
      </c>
    </row>
    <row r="448" spans="1:5" x14ac:dyDescent="0.35">
      <c r="A448" s="88">
        <v>635</v>
      </c>
      <c r="B448" s="89" t="s">
        <v>684</v>
      </c>
      <c r="C448" s="88">
        <v>635</v>
      </c>
      <c r="D448" s="89" t="s">
        <v>236</v>
      </c>
      <c r="E448" t="s">
        <v>747</v>
      </c>
    </row>
    <row r="449" spans="1:5" x14ac:dyDescent="0.35">
      <c r="A449" s="88">
        <v>477</v>
      </c>
      <c r="B449" s="89" t="s">
        <v>685</v>
      </c>
      <c r="C449" s="88">
        <v>477</v>
      </c>
      <c r="D449" s="89" t="s">
        <v>236</v>
      </c>
      <c r="E449" t="s">
        <v>747</v>
      </c>
    </row>
    <row r="450" spans="1:5" x14ac:dyDescent="0.35">
      <c r="A450" s="88">
        <v>399</v>
      </c>
      <c r="B450" s="89" t="s">
        <v>686</v>
      </c>
      <c r="C450" s="88">
        <v>399</v>
      </c>
      <c r="D450" s="89" t="s">
        <v>236</v>
      </c>
      <c r="E450" t="s">
        <v>747</v>
      </c>
    </row>
    <row r="451" spans="1:5" x14ac:dyDescent="0.35">
      <c r="A451" s="88">
        <v>472</v>
      </c>
      <c r="B451" s="89" t="s">
        <v>687</v>
      </c>
      <c r="C451" s="88">
        <v>472</v>
      </c>
      <c r="D451" s="89" t="s">
        <v>236</v>
      </c>
      <c r="E451" t="s">
        <v>747</v>
      </c>
    </row>
    <row r="452" spans="1:5" x14ac:dyDescent="0.35">
      <c r="A452" s="88">
        <v>398</v>
      </c>
      <c r="B452" s="89" t="s">
        <v>688</v>
      </c>
      <c r="C452" s="88">
        <v>398</v>
      </c>
      <c r="D452" s="89" t="s">
        <v>236</v>
      </c>
      <c r="E452" t="s">
        <v>747</v>
      </c>
    </row>
    <row r="453" spans="1:5" x14ac:dyDescent="0.35">
      <c r="A453" s="88">
        <v>428</v>
      </c>
      <c r="B453" s="89" t="s">
        <v>689</v>
      </c>
      <c r="C453" s="88">
        <v>428</v>
      </c>
      <c r="D453" s="89" t="s">
        <v>236</v>
      </c>
      <c r="E453" t="s">
        <v>747</v>
      </c>
    </row>
    <row r="454" spans="1:5" x14ac:dyDescent="0.35">
      <c r="A454" s="88">
        <v>396</v>
      </c>
      <c r="B454" s="89" t="s">
        <v>690</v>
      </c>
      <c r="C454" s="88">
        <v>396</v>
      </c>
      <c r="D454" s="89" t="s">
        <v>236</v>
      </c>
      <c r="E454" t="s">
        <v>747</v>
      </c>
    </row>
    <row r="455" spans="1:5" x14ac:dyDescent="0.35">
      <c r="A455" s="88">
        <v>303</v>
      </c>
      <c r="B455" s="89" t="s">
        <v>691</v>
      </c>
      <c r="C455" s="88">
        <v>303</v>
      </c>
      <c r="D455" s="89" t="s">
        <v>236</v>
      </c>
      <c r="E455" t="s">
        <v>747</v>
      </c>
    </row>
    <row r="456" spans="1:5" x14ac:dyDescent="0.35">
      <c r="A456" s="88">
        <v>457</v>
      </c>
      <c r="B456" s="89" t="s">
        <v>692</v>
      </c>
      <c r="C456" s="88">
        <v>457</v>
      </c>
      <c r="D456" s="89" t="s">
        <v>236</v>
      </c>
      <c r="E456" t="s">
        <v>747</v>
      </c>
    </row>
    <row r="457" spans="1:5" x14ac:dyDescent="0.35">
      <c r="A457" s="88">
        <v>452</v>
      </c>
      <c r="B457" s="89" t="s">
        <v>693</v>
      </c>
      <c r="C457" s="88">
        <v>452</v>
      </c>
      <c r="D457" s="89" t="s">
        <v>236</v>
      </c>
      <c r="E457" t="s">
        <v>747</v>
      </c>
    </row>
    <row r="458" spans="1:5" x14ac:dyDescent="0.35">
      <c r="A458" s="88">
        <v>360</v>
      </c>
      <c r="B458" s="89" t="s">
        <v>694</v>
      </c>
      <c r="C458" s="88">
        <v>360</v>
      </c>
      <c r="D458" s="89" t="s">
        <v>236</v>
      </c>
      <c r="E458" t="s">
        <v>747</v>
      </c>
    </row>
    <row r="459" spans="1:5" x14ac:dyDescent="0.35">
      <c r="A459" s="88">
        <v>608</v>
      </c>
      <c r="B459" s="89" t="s">
        <v>695</v>
      </c>
      <c r="C459" s="88">
        <v>608</v>
      </c>
      <c r="D459" s="89" t="s">
        <v>236</v>
      </c>
      <c r="E459" t="s">
        <v>747</v>
      </c>
    </row>
    <row r="460" spans="1:5" x14ac:dyDescent="0.35">
      <c r="A460" s="88">
        <v>655</v>
      </c>
      <c r="B460" s="89" t="s">
        <v>696</v>
      </c>
      <c r="C460" s="88">
        <v>655</v>
      </c>
      <c r="D460" s="89" t="s">
        <v>236</v>
      </c>
      <c r="E460" t="s">
        <v>747</v>
      </c>
    </row>
    <row r="461" spans="1:5" x14ac:dyDescent="0.35">
      <c r="A461" s="88">
        <v>503</v>
      </c>
      <c r="B461" s="89" t="s">
        <v>697</v>
      </c>
      <c r="C461" s="88">
        <v>503</v>
      </c>
      <c r="D461" s="89" t="s">
        <v>236</v>
      </c>
      <c r="E461" t="s">
        <v>747</v>
      </c>
    </row>
    <row r="462" spans="1:5" x14ac:dyDescent="0.35">
      <c r="A462" s="88">
        <v>421</v>
      </c>
      <c r="B462" s="89" t="s">
        <v>698</v>
      </c>
      <c r="C462" s="88">
        <v>421</v>
      </c>
      <c r="D462" s="89" t="s">
        <v>236</v>
      </c>
      <c r="E462" t="s">
        <v>747</v>
      </c>
    </row>
    <row r="463" spans="1:5" x14ac:dyDescent="0.35">
      <c r="A463" s="88">
        <v>181</v>
      </c>
      <c r="B463" s="89" t="s">
        <v>699</v>
      </c>
      <c r="C463" s="88">
        <v>181</v>
      </c>
      <c r="D463" s="89" t="s">
        <v>236</v>
      </c>
      <c r="E463" t="s">
        <v>747</v>
      </c>
    </row>
    <row r="464" spans="1:5" x14ac:dyDescent="0.35">
      <c r="A464" s="88">
        <v>482</v>
      </c>
      <c r="B464" s="89" t="s">
        <v>700</v>
      </c>
      <c r="C464" s="88">
        <v>482</v>
      </c>
      <c r="D464" s="89" t="s">
        <v>236</v>
      </c>
      <c r="E464" t="s">
        <v>747</v>
      </c>
    </row>
    <row r="465" spans="1:5" x14ac:dyDescent="0.35">
      <c r="A465" s="88">
        <v>183</v>
      </c>
      <c r="B465" s="89" t="s">
        <v>701</v>
      </c>
      <c r="C465" s="88">
        <v>183</v>
      </c>
      <c r="D465" s="89" t="s">
        <v>236</v>
      </c>
      <c r="E465">
        <v>183</v>
      </c>
    </row>
    <row r="466" spans="1:5" x14ac:dyDescent="0.35">
      <c r="A466" s="88">
        <v>605</v>
      </c>
      <c r="B466" s="89" t="s">
        <v>702</v>
      </c>
      <c r="C466" s="88">
        <v>605</v>
      </c>
      <c r="D466" s="89" t="s">
        <v>236</v>
      </c>
      <c r="E466" t="s">
        <v>747</v>
      </c>
    </row>
    <row r="467" spans="1:5" x14ac:dyDescent="0.35">
      <c r="A467" s="88">
        <v>483</v>
      </c>
      <c r="B467" s="89" t="s">
        <v>703</v>
      </c>
      <c r="C467" s="88">
        <v>483</v>
      </c>
      <c r="D467" s="89" t="s">
        <v>236</v>
      </c>
      <c r="E467" t="s">
        <v>747</v>
      </c>
    </row>
    <row r="468" spans="1:5" x14ac:dyDescent="0.35">
      <c r="A468" s="88">
        <v>474</v>
      </c>
      <c r="B468" s="89" t="s">
        <v>704</v>
      </c>
      <c r="C468" s="88">
        <v>474</v>
      </c>
      <c r="D468" s="89" t="s">
        <v>236</v>
      </c>
      <c r="E468" t="s">
        <v>747</v>
      </c>
    </row>
    <row r="469" spans="1:5" x14ac:dyDescent="0.35">
      <c r="A469" s="88">
        <v>443</v>
      </c>
      <c r="B469" s="89" t="s">
        <v>705</v>
      </c>
      <c r="C469" s="88">
        <v>443</v>
      </c>
      <c r="D469" s="89" t="s">
        <v>236</v>
      </c>
      <c r="E469" t="s">
        <v>747</v>
      </c>
    </row>
    <row r="470" spans="1:5" x14ac:dyDescent="0.35">
      <c r="A470" s="88">
        <v>656</v>
      </c>
      <c r="B470" s="89" t="s">
        <v>706</v>
      </c>
      <c r="C470" s="88">
        <v>656</v>
      </c>
      <c r="D470" s="89" t="s">
        <v>236</v>
      </c>
      <c r="E470" t="s">
        <v>747</v>
      </c>
    </row>
    <row r="471" spans="1:5" x14ac:dyDescent="0.35">
      <c r="A471" s="88">
        <v>419</v>
      </c>
      <c r="B471" s="89" t="s">
        <v>707</v>
      </c>
      <c r="C471" s="88">
        <v>419</v>
      </c>
      <c r="D471" s="89" t="s">
        <v>236</v>
      </c>
      <c r="E471" t="s">
        <v>747</v>
      </c>
    </row>
    <row r="472" spans="1:5" x14ac:dyDescent="0.35">
      <c r="A472" s="88">
        <v>323</v>
      </c>
      <c r="B472" s="89" t="s">
        <v>708</v>
      </c>
      <c r="C472" s="88">
        <v>323</v>
      </c>
      <c r="D472" s="89" t="s">
        <v>236</v>
      </c>
      <c r="E472" t="s">
        <v>747</v>
      </c>
    </row>
    <row r="473" spans="1:5" x14ac:dyDescent="0.35">
      <c r="A473" s="88">
        <v>459</v>
      </c>
      <c r="B473" s="89" t="s">
        <v>709</v>
      </c>
      <c r="C473" s="88">
        <v>459</v>
      </c>
      <c r="D473" s="89" t="s">
        <v>236</v>
      </c>
      <c r="E473" t="s">
        <v>747</v>
      </c>
    </row>
    <row r="474" spans="1:5" x14ac:dyDescent="0.35">
      <c r="A474" s="88">
        <v>346</v>
      </c>
      <c r="B474" s="89" t="s">
        <v>710</v>
      </c>
      <c r="C474" s="88">
        <v>346</v>
      </c>
      <c r="D474" s="89" t="s">
        <v>236</v>
      </c>
      <c r="E474">
        <v>346</v>
      </c>
    </row>
    <row r="475" spans="1:5" x14ac:dyDescent="0.35">
      <c r="A475" s="88">
        <v>436</v>
      </c>
      <c r="B475" s="89" t="s">
        <v>711</v>
      </c>
      <c r="C475" s="88">
        <v>436</v>
      </c>
      <c r="D475" s="89" t="s">
        <v>236</v>
      </c>
      <c r="E475" t="s">
        <v>747</v>
      </c>
    </row>
    <row r="476" spans="1:5" x14ac:dyDescent="0.35">
      <c r="A476" s="88">
        <v>417</v>
      </c>
      <c r="B476" s="89" t="s">
        <v>712</v>
      </c>
      <c r="C476" s="88">
        <v>417</v>
      </c>
      <c r="D476" s="89" t="s">
        <v>236</v>
      </c>
      <c r="E476" t="s">
        <v>747</v>
      </c>
    </row>
    <row r="477" spans="1:5" x14ac:dyDescent="0.35">
      <c r="A477" s="88">
        <v>351</v>
      </c>
      <c r="B477" s="89" t="s">
        <v>713</v>
      </c>
      <c r="C477" s="88">
        <v>351</v>
      </c>
      <c r="D477" s="89" t="s">
        <v>236</v>
      </c>
      <c r="E477" t="s">
        <v>747</v>
      </c>
    </row>
    <row r="478" spans="1:5" x14ac:dyDescent="0.35">
      <c r="A478" s="88">
        <v>369</v>
      </c>
      <c r="B478" s="89" t="s">
        <v>714</v>
      </c>
      <c r="C478" s="88">
        <v>369</v>
      </c>
      <c r="D478" s="89" t="s">
        <v>236</v>
      </c>
      <c r="E478" t="s">
        <v>747</v>
      </c>
    </row>
    <row r="479" spans="1:5" x14ac:dyDescent="0.35">
      <c r="A479" s="88">
        <v>406</v>
      </c>
      <c r="B479" s="89" t="s">
        <v>715</v>
      </c>
      <c r="C479" s="88">
        <v>406</v>
      </c>
      <c r="D479" s="89" t="s">
        <v>236</v>
      </c>
      <c r="E479" t="s">
        <v>747</v>
      </c>
    </row>
    <row r="480" spans="1:5" x14ac:dyDescent="0.35">
      <c r="A480" s="88">
        <v>232</v>
      </c>
      <c r="B480" s="89" t="s">
        <v>716</v>
      </c>
      <c r="C480" s="88">
        <v>232</v>
      </c>
      <c r="D480" s="89" t="s">
        <v>236</v>
      </c>
      <c r="E480" t="s">
        <v>747</v>
      </c>
    </row>
    <row r="481" spans="1:5" x14ac:dyDescent="0.35">
      <c r="A481" s="88">
        <v>342</v>
      </c>
      <c r="B481" s="89" t="s">
        <v>717</v>
      </c>
      <c r="C481" s="88">
        <v>342</v>
      </c>
      <c r="D481" s="89" t="s">
        <v>236</v>
      </c>
      <c r="E481" t="s">
        <v>747</v>
      </c>
    </row>
    <row r="482" spans="1:5" x14ac:dyDescent="0.35">
      <c r="A482" s="88">
        <v>397</v>
      </c>
      <c r="B482" s="89" t="s">
        <v>718</v>
      </c>
      <c r="C482" s="88">
        <v>397</v>
      </c>
      <c r="D482" s="89" t="s">
        <v>236</v>
      </c>
      <c r="E482" t="s">
        <v>747</v>
      </c>
    </row>
    <row r="483" spans="1:5" x14ac:dyDescent="0.35">
      <c r="A483" s="88">
        <v>462</v>
      </c>
      <c r="B483" s="89" t="s">
        <v>719</v>
      </c>
      <c r="C483" s="88">
        <v>462</v>
      </c>
      <c r="D483" s="89" t="s">
        <v>236</v>
      </c>
      <c r="E483" t="s">
        <v>747</v>
      </c>
    </row>
    <row r="484" spans="1:5" x14ac:dyDescent="0.35">
      <c r="A484" s="88">
        <v>750</v>
      </c>
      <c r="B484" s="89" t="s">
        <v>720</v>
      </c>
      <c r="C484" s="88">
        <v>750</v>
      </c>
      <c r="D484" s="89" t="s">
        <v>236</v>
      </c>
      <c r="E484" t="s">
        <v>747</v>
      </c>
    </row>
    <row r="485" spans="1:5" x14ac:dyDescent="0.35">
      <c r="A485" s="88">
        <v>481</v>
      </c>
      <c r="B485" s="89" t="s">
        <v>721</v>
      </c>
      <c r="C485" s="88">
        <v>481</v>
      </c>
      <c r="D485" s="89" t="s">
        <v>236</v>
      </c>
      <c r="E485" t="s">
        <v>747</v>
      </c>
    </row>
    <row r="486" spans="1:5" x14ac:dyDescent="0.35">
      <c r="A486" s="88">
        <v>490</v>
      </c>
      <c r="B486" s="89" t="s">
        <v>722</v>
      </c>
      <c r="C486" s="88">
        <v>490</v>
      </c>
      <c r="D486" s="89" t="s">
        <v>236</v>
      </c>
      <c r="E486" t="s">
        <v>747</v>
      </c>
    </row>
    <row r="487" spans="1:5" x14ac:dyDescent="0.35">
      <c r="A487" s="88">
        <v>470</v>
      </c>
      <c r="B487" s="89" t="s">
        <v>723</v>
      </c>
      <c r="C487" s="88">
        <v>470</v>
      </c>
      <c r="D487" s="89" t="s">
        <v>236</v>
      </c>
      <c r="E487" t="s">
        <v>747</v>
      </c>
    </row>
    <row r="488" spans="1:5" x14ac:dyDescent="0.35">
      <c r="A488" s="88">
        <v>392</v>
      </c>
      <c r="B488" s="89" t="s">
        <v>724</v>
      </c>
      <c r="C488" s="88">
        <v>392</v>
      </c>
      <c r="D488" s="89" t="s">
        <v>236</v>
      </c>
      <c r="E488" t="s">
        <v>747</v>
      </c>
    </row>
    <row r="489" spans="1:5" x14ac:dyDescent="0.35">
      <c r="A489" s="88">
        <v>411</v>
      </c>
      <c r="B489" s="89" t="s">
        <v>725</v>
      </c>
      <c r="C489" s="88">
        <v>411</v>
      </c>
      <c r="D489" s="89" t="s">
        <v>236</v>
      </c>
      <c r="E489" t="s">
        <v>747</v>
      </c>
    </row>
    <row r="490" spans="1:5" x14ac:dyDescent="0.35">
      <c r="A490" s="88">
        <v>488</v>
      </c>
      <c r="B490" s="89" t="s">
        <v>726</v>
      </c>
      <c r="C490" s="88">
        <v>488</v>
      </c>
      <c r="D490" s="89" t="s">
        <v>236</v>
      </c>
      <c r="E490" t="s">
        <v>747</v>
      </c>
    </row>
    <row r="491" spans="1:5" x14ac:dyDescent="0.35">
      <c r="A491" s="88">
        <v>422</v>
      </c>
      <c r="B491" s="89" t="s">
        <v>727</v>
      </c>
      <c r="C491" s="88">
        <v>422</v>
      </c>
      <c r="D491" s="89" t="s">
        <v>236</v>
      </c>
      <c r="E491" t="s">
        <v>747</v>
      </c>
    </row>
    <row r="492" spans="1:5" x14ac:dyDescent="0.35">
      <c r="A492" s="88">
        <v>347</v>
      </c>
      <c r="B492" s="89" t="s">
        <v>728</v>
      </c>
      <c r="C492" s="88">
        <v>347</v>
      </c>
      <c r="D492" s="89" t="s">
        <v>236</v>
      </c>
      <c r="E492" t="s">
        <v>747</v>
      </c>
    </row>
    <row r="493" spans="1:5" x14ac:dyDescent="0.35">
      <c r="A493" s="88">
        <v>755</v>
      </c>
      <c r="B493" s="89" t="s">
        <v>729</v>
      </c>
      <c r="C493" s="88">
        <v>755</v>
      </c>
      <c r="D493" s="89" t="s">
        <v>236</v>
      </c>
      <c r="E493" t="s">
        <v>747</v>
      </c>
    </row>
    <row r="494" spans="1:5" x14ac:dyDescent="0.35">
      <c r="A494" s="88">
        <v>450</v>
      </c>
      <c r="B494" s="89" t="s">
        <v>730</v>
      </c>
      <c r="C494" s="88">
        <v>450</v>
      </c>
      <c r="D494" s="89" t="s">
        <v>236</v>
      </c>
      <c r="E494" t="s">
        <v>747</v>
      </c>
    </row>
    <row r="495" spans="1:5" x14ac:dyDescent="0.35">
      <c r="A495" s="88">
        <v>658</v>
      </c>
      <c r="B495" s="89" t="s">
        <v>731</v>
      </c>
      <c r="C495" s="88">
        <v>658</v>
      </c>
      <c r="D495" s="89" t="s">
        <v>236</v>
      </c>
      <c r="E495" t="s">
        <v>747</v>
      </c>
    </row>
    <row r="496" spans="1:5" x14ac:dyDescent="0.35">
      <c r="A496" s="88">
        <v>453</v>
      </c>
      <c r="B496" s="89" t="s">
        <v>732</v>
      </c>
      <c r="C496" s="88">
        <v>453</v>
      </c>
      <c r="D496" s="89" t="s">
        <v>236</v>
      </c>
      <c r="E496" t="s">
        <v>747</v>
      </c>
    </row>
    <row r="497" spans="1:5" x14ac:dyDescent="0.35">
      <c r="A497" s="88">
        <v>435</v>
      </c>
      <c r="B497" s="89" t="s">
        <v>733</v>
      </c>
      <c r="C497" s="88">
        <v>435</v>
      </c>
      <c r="D497" s="89" t="s">
        <v>236</v>
      </c>
      <c r="E497" t="s">
        <v>747</v>
      </c>
    </row>
    <row r="498" spans="1:5" x14ac:dyDescent="0.35">
      <c r="A498" s="88">
        <v>185</v>
      </c>
      <c r="B498" s="89" t="s">
        <v>734</v>
      </c>
      <c r="C498" s="88">
        <v>185</v>
      </c>
      <c r="D498" s="89" t="s">
        <v>236</v>
      </c>
      <c r="E498" t="s">
        <v>747</v>
      </c>
    </row>
    <row r="499" spans="1:5" x14ac:dyDescent="0.35">
      <c r="A499" s="88">
        <v>609</v>
      </c>
      <c r="B499" s="89" t="s">
        <v>735</v>
      </c>
      <c r="C499" s="88">
        <v>609</v>
      </c>
      <c r="D499" s="89" t="s">
        <v>236</v>
      </c>
      <c r="E499" t="s">
        <v>747</v>
      </c>
    </row>
    <row r="500" spans="1:5" x14ac:dyDescent="0.35">
      <c r="A500" s="88">
        <v>439</v>
      </c>
      <c r="B500" s="89" t="s">
        <v>736</v>
      </c>
      <c r="C500" s="88">
        <v>439</v>
      </c>
      <c r="D500" s="89" t="s">
        <v>236</v>
      </c>
      <c r="E500" t="s">
        <v>747</v>
      </c>
    </row>
    <row r="501" spans="1:5" x14ac:dyDescent="0.35">
      <c r="A501" s="88">
        <v>410</v>
      </c>
      <c r="B501" s="89" t="s">
        <v>737</v>
      </c>
      <c r="C501" s="88">
        <v>410</v>
      </c>
      <c r="D501" s="89" t="s">
        <v>236</v>
      </c>
      <c r="E501" t="s">
        <v>747</v>
      </c>
    </row>
    <row r="502" spans="1:5" x14ac:dyDescent="0.35">
      <c r="A502" s="88">
        <v>393</v>
      </c>
      <c r="B502" s="89" t="s">
        <v>738</v>
      </c>
      <c r="C502" s="88">
        <v>393</v>
      </c>
      <c r="D502" s="89" t="s">
        <v>236</v>
      </c>
      <c r="E502" t="s">
        <v>747</v>
      </c>
    </row>
    <row r="503" spans="1:5" x14ac:dyDescent="0.35">
      <c r="A503" s="88">
        <v>416</v>
      </c>
      <c r="B503" s="89" t="s">
        <v>739</v>
      </c>
      <c r="C503" s="88">
        <v>416</v>
      </c>
      <c r="D503" s="89" t="s">
        <v>236</v>
      </c>
      <c r="E503" t="s">
        <v>747</v>
      </c>
    </row>
  </sheetData>
  <autoFilter ref="A1:E503" xr:uid="{70597D37-925A-4A9B-8297-C8FF7B80B7C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showGridLines="0" tabSelected="1" zoomScale="90" zoomScaleNormal="90" workbookViewId="0">
      <pane xSplit="2" ySplit="3" topLeftCell="C4" activePane="bottomRight" state="frozen"/>
      <selection pane="topRight"/>
      <selection pane="bottomLeft"/>
      <selection pane="bottomRight" activeCell="B5" sqref="B5"/>
    </sheetView>
  </sheetViews>
  <sheetFormatPr defaultRowHeight="14.5" x14ac:dyDescent="0.35"/>
  <cols>
    <col min="1" max="1" width="18" customWidth="1"/>
    <col min="2" max="2" width="32" customWidth="1"/>
    <col min="3" max="3" width="25.36328125" customWidth="1"/>
    <col min="4" max="7" width="18" customWidth="1"/>
  </cols>
  <sheetData>
    <row r="1" spans="1:7" ht="28" customHeight="1" x14ac:dyDescent="0.35">
      <c r="A1" s="86" t="s">
        <v>158</v>
      </c>
      <c r="B1" s="77"/>
      <c r="C1" s="77"/>
      <c r="D1" s="77"/>
      <c r="E1" s="77"/>
      <c r="F1" s="77"/>
      <c r="G1" s="77"/>
    </row>
    <row r="2" spans="1:7" x14ac:dyDescent="0.35">
      <c r="A2" s="76" t="s">
        <v>159</v>
      </c>
      <c r="B2" s="77"/>
      <c r="C2" s="77"/>
      <c r="D2" s="77"/>
      <c r="E2" s="77"/>
      <c r="F2" s="77"/>
      <c r="G2" s="77"/>
    </row>
    <row r="3" spans="1:7" x14ac:dyDescent="0.35">
      <c r="A3" s="6" t="s">
        <v>160</v>
      </c>
      <c r="B3" s="6" t="s">
        <v>161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</row>
    <row r="4" spans="1:7" x14ac:dyDescent="0.35">
      <c r="A4" s="12" t="s">
        <v>2</v>
      </c>
      <c r="B4" s="13"/>
      <c r="C4" s="92" t="s">
        <v>740</v>
      </c>
      <c r="D4" s="15" t="s">
        <v>741</v>
      </c>
      <c r="E4" s="15" t="s">
        <v>742</v>
      </c>
      <c r="F4" s="15" t="s">
        <v>743</v>
      </c>
      <c r="G4" s="15" t="s">
        <v>744</v>
      </c>
    </row>
    <row r="5" spans="1:7" ht="44" customHeight="1" x14ac:dyDescent="0.35">
      <c r="A5" s="16" t="s">
        <v>162</v>
      </c>
      <c r="B5" s="17" t="s">
        <v>163</v>
      </c>
      <c r="C5" s="93" t="s">
        <v>745</v>
      </c>
      <c r="D5" s="93"/>
      <c r="E5" s="93"/>
      <c r="F5" s="93"/>
      <c r="G5" s="93"/>
    </row>
    <row r="6" spans="1:7" ht="44" customHeight="1" x14ac:dyDescent="0.35">
      <c r="A6" s="18"/>
      <c r="B6" s="17" t="s">
        <v>164</v>
      </c>
      <c r="C6" s="93"/>
      <c r="D6" s="93"/>
      <c r="E6" s="93"/>
      <c r="F6" s="93"/>
      <c r="G6" s="93"/>
    </row>
    <row r="7" spans="1:7" ht="44" customHeight="1" x14ac:dyDescent="0.35">
      <c r="A7" s="18"/>
      <c r="B7" s="17" t="s">
        <v>165</v>
      </c>
      <c r="C7" s="93"/>
      <c r="D7" s="93"/>
      <c r="E7" s="93"/>
      <c r="F7" s="93"/>
      <c r="G7" s="93"/>
    </row>
    <row r="8" spans="1:7" ht="44" customHeight="1" x14ac:dyDescent="0.35">
      <c r="A8" s="18"/>
      <c r="B8" s="17" t="s">
        <v>166</v>
      </c>
      <c r="C8" s="93"/>
      <c r="D8" s="93"/>
      <c r="E8" s="93"/>
      <c r="F8" s="93"/>
      <c r="G8" s="93"/>
    </row>
    <row r="9" spans="1:7" ht="44" customHeight="1" x14ac:dyDescent="0.35">
      <c r="A9" s="18"/>
      <c r="B9" s="17" t="s">
        <v>167</v>
      </c>
      <c r="C9" s="93"/>
      <c r="D9" s="93"/>
      <c r="E9" s="93"/>
      <c r="F9" s="93"/>
      <c r="G9" s="93"/>
    </row>
    <row r="10" spans="1:7" ht="44" customHeight="1" x14ac:dyDescent="0.35">
      <c r="A10" s="18"/>
      <c r="B10" s="17" t="s">
        <v>168</v>
      </c>
      <c r="C10" s="93"/>
      <c r="D10" s="93"/>
      <c r="E10" s="93"/>
      <c r="F10" s="93"/>
      <c r="G10" s="93"/>
    </row>
    <row r="11" spans="1:7" ht="44" customHeight="1" x14ac:dyDescent="0.35">
      <c r="A11" s="19" t="s">
        <v>169</v>
      </c>
      <c r="B11" s="20" t="s">
        <v>170</v>
      </c>
      <c r="C11" s="93"/>
      <c r="D11" s="93"/>
      <c r="E11" s="93"/>
      <c r="F11" s="93"/>
      <c r="G11" s="93"/>
    </row>
    <row r="12" spans="1:7" ht="44" customHeight="1" x14ac:dyDescent="0.35">
      <c r="A12" s="21"/>
      <c r="B12" s="20" t="s">
        <v>171</v>
      </c>
      <c r="C12" s="93"/>
      <c r="D12" s="93"/>
      <c r="E12" s="93"/>
      <c r="F12" s="93"/>
      <c r="G12" s="93"/>
    </row>
    <row r="13" spans="1:7" ht="44" customHeight="1" x14ac:dyDescent="0.35">
      <c r="A13" s="21"/>
      <c r="B13" s="20" t="s">
        <v>172</v>
      </c>
      <c r="C13" s="93"/>
      <c r="D13" s="93"/>
      <c r="E13" s="93"/>
      <c r="F13" s="93"/>
      <c r="G13" s="93"/>
    </row>
    <row r="14" spans="1:7" ht="44" customHeight="1" x14ac:dyDescent="0.35">
      <c r="A14" s="21"/>
      <c r="B14" s="20" t="s">
        <v>173</v>
      </c>
      <c r="C14" s="93"/>
      <c r="D14" s="93"/>
      <c r="E14" s="93"/>
      <c r="F14" s="93"/>
      <c r="G14" s="93"/>
    </row>
    <row r="15" spans="1:7" ht="44" customHeight="1" x14ac:dyDescent="0.35">
      <c r="A15" s="21"/>
      <c r="B15" s="20" t="s">
        <v>174</v>
      </c>
      <c r="C15" s="93"/>
      <c r="D15" s="93"/>
      <c r="E15" s="93"/>
      <c r="F15" s="93"/>
      <c r="G15" s="93"/>
    </row>
    <row r="16" spans="1:7" ht="44" customHeight="1" x14ac:dyDescent="0.35">
      <c r="A16" s="21"/>
      <c r="B16" s="20" t="s">
        <v>175</v>
      </c>
      <c r="C16" s="93"/>
      <c r="D16" s="93"/>
      <c r="E16" s="93"/>
      <c r="F16" s="93"/>
      <c r="G16" s="93"/>
    </row>
    <row r="17" spans="1:7" ht="44" customHeight="1" x14ac:dyDescent="0.35">
      <c r="A17" s="22" t="s">
        <v>176</v>
      </c>
      <c r="B17" s="23" t="s">
        <v>177</v>
      </c>
      <c r="C17" s="93"/>
      <c r="D17" s="93"/>
      <c r="E17" s="93"/>
      <c r="F17" s="93"/>
      <c r="G17" s="93"/>
    </row>
    <row r="18" spans="1:7" ht="44" customHeight="1" x14ac:dyDescent="0.35">
      <c r="A18" s="24"/>
      <c r="B18" s="23" t="s">
        <v>178</v>
      </c>
      <c r="C18" s="93"/>
      <c r="D18" s="93"/>
      <c r="E18" s="93"/>
      <c r="F18" s="93"/>
      <c r="G18" s="93"/>
    </row>
    <row r="19" spans="1:7" ht="44" customHeight="1" x14ac:dyDescent="0.35">
      <c r="A19" s="24"/>
      <c r="B19" s="23" t="s">
        <v>179</v>
      </c>
      <c r="C19" s="93"/>
      <c r="D19" s="93"/>
      <c r="E19" s="93"/>
      <c r="F19" s="93"/>
      <c r="G19" s="93"/>
    </row>
    <row r="20" spans="1:7" ht="44" customHeight="1" x14ac:dyDescent="0.35">
      <c r="A20" s="24"/>
      <c r="B20" s="23" t="s">
        <v>180</v>
      </c>
      <c r="C20" s="93"/>
      <c r="D20" s="93"/>
      <c r="E20" s="93"/>
      <c r="F20" s="93"/>
      <c r="G20" s="93"/>
    </row>
    <row r="21" spans="1:7" ht="44" customHeight="1" x14ac:dyDescent="0.35">
      <c r="A21" s="24"/>
      <c r="B21" s="23" t="s">
        <v>181</v>
      </c>
      <c r="C21" s="93"/>
      <c r="D21" s="93"/>
      <c r="E21" s="93"/>
      <c r="F21" s="93"/>
      <c r="G21" s="93"/>
    </row>
    <row r="23" spans="1:7" x14ac:dyDescent="0.35">
      <c r="A23" s="76" t="s">
        <v>182</v>
      </c>
      <c r="B23" s="77"/>
      <c r="C23" s="77"/>
      <c r="D23" s="77"/>
      <c r="E23" s="77"/>
      <c r="F23" s="77"/>
      <c r="G23" s="77"/>
    </row>
  </sheetData>
  <mergeCells count="3">
    <mergeCell ref="A23:G2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0"/>
  <sheetViews>
    <sheetView workbookViewId="0">
      <pane ySplit="1" topLeftCell="A2" activePane="bottomLeft" state="frozen"/>
      <selection pane="bottomLeft" activeCell="F15" sqref="F15"/>
    </sheetView>
  </sheetViews>
  <sheetFormatPr defaultRowHeight="14.5" x14ac:dyDescent="0.35"/>
  <cols>
    <col min="1" max="1" width="10" customWidth="1"/>
    <col min="2" max="4" width="12" customWidth="1"/>
    <col min="5" max="5" width="10" customWidth="1"/>
    <col min="6" max="6" width="18" customWidth="1"/>
    <col min="7" max="8" width="16" customWidth="1"/>
    <col min="9" max="9" width="18" customWidth="1"/>
    <col min="10" max="10" width="16" customWidth="1"/>
    <col min="11" max="11" width="12" customWidth="1"/>
    <col min="12" max="12" width="48" customWidth="1"/>
    <col min="13" max="13" width="11" customWidth="1"/>
    <col min="14" max="14" width="12" customWidth="1"/>
    <col min="15" max="15" width="10" customWidth="1"/>
    <col min="16" max="16" width="8" customWidth="1"/>
    <col min="17" max="18" width="12" customWidth="1"/>
    <col min="19" max="19" width="10" customWidth="1"/>
    <col min="20" max="20" width="8" customWidth="1"/>
    <col min="21" max="21" width="10" customWidth="1"/>
    <col min="22" max="22" width="20" customWidth="1"/>
    <col min="23" max="23" width="28" customWidth="1"/>
  </cols>
  <sheetData>
    <row r="1" spans="1:23" ht="29" customHeight="1" x14ac:dyDescent="0.35">
      <c r="A1" s="6" t="s">
        <v>183</v>
      </c>
      <c r="B1" s="6" t="s">
        <v>184</v>
      </c>
      <c r="C1" s="6" t="s">
        <v>76</v>
      </c>
      <c r="D1" s="6" t="s">
        <v>75</v>
      </c>
      <c r="E1" s="6" t="s">
        <v>2</v>
      </c>
      <c r="F1" s="6" t="s">
        <v>34</v>
      </c>
      <c r="G1" s="6" t="s">
        <v>185</v>
      </c>
      <c r="H1" s="6" t="s">
        <v>186</v>
      </c>
      <c r="I1" s="6" t="s">
        <v>187</v>
      </c>
      <c r="J1" s="6" t="s">
        <v>188</v>
      </c>
      <c r="K1" s="6" t="s">
        <v>189</v>
      </c>
      <c r="L1" s="6" t="s">
        <v>190</v>
      </c>
      <c r="M1" s="6" t="s">
        <v>16</v>
      </c>
      <c r="N1" s="6" t="s">
        <v>17</v>
      </c>
      <c r="O1" s="6" t="s">
        <v>18</v>
      </c>
      <c r="P1" s="6" t="s">
        <v>191</v>
      </c>
      <c r="Q1" s="6" t="s">
        <v>19</v>
      </c>
      <c r="R1" s="6" t="s">
        <v>192</v>
      </c>
      <c r="S1" s="6" t="s">
        <v>193</v>
      </c>
      <c r="T1" s="6" t="s">
        <v>194</v>
      </c>
      <c r="U1" s="6" t="s">
        <v>195</v>
      </c>
      <c r="V1" s="6" t="s">
        <v>196</v>
      </c>
      <c r="W1" s="6" t="s">
        <v>74</v>
      </c>
    </row>
    <row r="2" spans="1:23" x14ac:dyDescent="0.35">
      <c r="A2" s="25">
        <v>1</v>
      </c>
      <c r="B2" s="26">
        <v>46053</v>
      </c>
      <c r="C2" s="25" t="str">
        <f t="shared" ref="C2:C33" si="0">IF(B2="","",TEXT(B2,"YYYY-MM"))</f>
        <v>2026-01</v>
      </c>
      <c r="D2" s="25" t="str">
        <f t="shared" ref="D2:D33" si="1">IF(B2="","",TEXT(B2,"MMM YYYY"))</f>
        <v>Jan 2026</v>
      </c>
      <c r="E2" s="25" t="str">
        <f>IF(B2="","",IF(B2&lt;Config!$B$4,Config!$B$7,Config!$B$8))</f>
        <v>Pre</v>
      </c>
      <c r="F2" s="25" t="s">
        <v>197</v>
      </c>
      <c r="G2" s="25" t="s">
        <v>82</v>
      </c>
      <c r="H2" s="25" t="s">
        <v>86</v>
      </c>
      <c r="I2" s="25" t="s">
        <v>198</v>
      </c>
      <c r="J2" s="25"/>
      <c r="K2" s="25" t="s">
        <v>199</v>
      </c>
      <c r="L2" s="27" t="s">
        <v>200</v>
      </c>
      <c r="M2" s="28">
        <v>4200</v>
      </c>
      <c r="N2" s="29">
        <v>185000</v>
      </c>
      <c r="O2" s="29">
        <v>6200</v>
      </c>
      <c r="P2" s="30">
        <f t="shared" ref="P2:P33" si="2">IF(OR(N2="",O2=""),"",IF(N2=0,"",O2/N2*100))</f>
        <v>3.3513513513513513</v>
      </c>
      <c r="Q2" s="29">
        <v>148</v>
      </c>
      <c r="R2" s="30">
        <f t="shared" ref="R2:R33" si="3">IF(OR(O2="",Q2=""),"",IF(O2=0,"",Q2/O2*100))</f>
        <v>2.3870967741935485</v>
      </c>
      <c r="S2" s="28">
        <f t="shared" ref="S2:S33" si="4">IF(OR(M2="",Q2=""),"",IF(Q2=0,"",M2/Q2))</f>
        <v>28.378378378378379</v>
      </c>
      <c r="T2" s="30">
        <v>3.1</v>
      </c>
      <c r="U2" s="25" t="s">
        <v>201</v>
      </c>
      <c r="V2" s="25"/>
      <c r="W2" s="27" t="s">
        <v>202</v>
      </c>
    </row>
    <row r="3" spans="1:23" x14ac:dyDescent="0.35">
      <c r="A3" s="25">
        <v>2</v>
      </c>
      <c r="B3" s="26">
        <v>46081</v>
      </c>
      <c r="C3" s="25" t="str">
        <f t="shared" si="0"/>
        <v>2026-02</v>
      </c>
      <c r="D3" s="25" t="str">
        <f t="shared" si="1"/>
        <v>Feb 2026</v>
      </c>
      <c r="E3" s="25" t="str">
        <f>IF(B3="","",IF(B3&lt;Config!$B$4,Config!$B$7,Config!$B$8))</f>
        <v>Pre</v>
      </c>
      <c r="F3" s="25" t="s">
        <v>197</v>
      </c>
      <c r="G3" s="25" t="s">
        <v>82</v>
      </c>
      <c r="H3" s="25" t="s">
        <v>86</v>
      </c>
      <c r="I3" s="25" t="s">
        <v>198</v>
      </c>
      <c r="J3" s="25"/>
      <c r="K3" s="25" t="s">
        <v>199</v>
      </c>
      <c r="L3" s="27" t="s">
        <v>203</v>
      </c>
      <c r="M3" s="28">
        <v>4100</v>
      </c>
      <c r="N3" s="29">
        <v>178000</v>
      </c>
      <c r="O3" s="29">
        <v>6050</v>
      </c>
      <c r="P3" s="30">
        <f t="shared" si="2"/>
        <v>3.3988764044943816</v>
      </c>
      <c r="Q3" s="29">
        <v>142</v>
      </c>
      <c r="R3" s="30">
        <f t="shared" si="3"/>
        <v>2.3471074380165291</v>
      </c>
      <c r="S3" s="28">
        <f t="shared" si="4"/>
        <v>28.87323943661972</v>
      </c>
      <c r="T3" s="30">
        <v>3</v>
      </c>
      <c r="U3" s="25" t="s">
        <v>201</v>
      </c>
      <c r="V3" s="25"/>
      <c r="W3" s="27" t="s">
        <v>204</v>
      </c>
    </row>
    <row r="4" spans="1:23" x14ac:dyDescent="0.35">
      <c r="A4" s="25">
        <v>3</v>
      </c>
      <c r="B4" s="26">
        <v>46112</v>
      </c>
      <c r="C4" s="25" t="str">
        <f t="shared" si="0"/>
        <v>2026-03</v>
      </c>
      <c r="D4" s="25" t="str">
        <f t="shared" si="1"/>
        <v>Mar 2026</v>
      </c>
      <c r="E4" s="25" t="str">
        <f>IF(B4="","",IF(B4&lt;Config!$B$4,Config!$B$7,Config!$B$8))</f>
        <v>Pre</v>
      </c>
      <c r="F4" s="25" t="s">
        <v>197</v>
      </c>
      <c r="G4" s="25" t="s">
        <v>82</v>
      </c>
      <c r="H4" s="25" t="s">
        <v>86</v>
      </c>
      <c r="I4" s="25" t="s">
        <v>198</v>
      </c>
      <c r="J4" s="25"/>
      <c r="K4" s="25" t="s">
        <v>199</v>
      </c>
      <c r="L4" s="27" t="s">
        <v>205</v>
      </c>
      <c r="M4" s="28">
        <v>4450</v>
      </c>
      <c r="N4" s="29">
        <v>192000</v>
      </c>
      <c r="O4" s="29">
        <v>6400</v>
      </c>
      <c r="P4" s="30">
        <f t="shared" si="2"/>
        <v>3.3333333333333335</v>
      </c>
      <c r="Q4" s="29">
        <v>155</v>
      </c>
      <c r="R4" s="30">
        <f t="shared" si="3"/>
        <v>2.421875</v>
      </c>
      <c r="S4" s="28">
        <f t="shared" si="4"/>
        <v>28.70967741935484</v>
      </c>
      <c r="T4" s="30">
        <v>3.2</v>
      </c>
      <c r="U4" s="25" t="s">
        <v>201</v>
      </c>
      <c r="V4" s="25"/>
      <c r="W4" s="27" t="s">
        <v>206</v>
      </c>
    </row>
    <row r="5" spans="1:23" x14ac:dyDescent="0.35">
      <c r="A5" s="25">
        <v>4</v>
      </c>
      <c r="B5" s="26">
        <v>46142</v>
      </c>
      <c r="C5" s="25" t="str">
        <f t="shared" si="0"/>
        <v>2026-04</v>
      </c>
      <c r="D5" s="25" t="str">
        <f t="shared" si="1"/>
        <v>Apr 2026</v>
      </c>
      <c r="E5" s="25" t="str">
        <f>IF(B5="","",IF(B5&lt;Config!$B$4,Config!$B$7,Config!$B$8))</f>
        <v>Pre</v>
      </c>
      <c r="F5" s="25" t="s">
        <v>197</v>
      </c>
      <c r="G5" s="25" t="s">
        <v>82</v>
      </c>
      <c r="H5" s="25" t="s">
        <v>86</v>
      </c>
      <c r="I5" s="25" t="s">
        <v>198</v>
      </c>
      <c r="J5" s="25"/>
      <c r="K5" s="25" t="s">
        <v>199</v>
      </c>
      <c r="L5" s="27" t="s">
        <v>207</v>
      </c>
      <c r="M5" s="28">
        <v>4600</v>
      </c>
      <c r="N5" s="29">
        <v>198000</v>
      </c>
      <c r="O5" s="29">
        <v>6550</v>
      </c>
      <c r="P5" s="30">
        <f t="shared" si="2"/>
        <v>3.308080808080808</v>
      </c>
      <c r="Q5" s="29">
        <v>160</v>
      </c>
      <c r="R5" s="30">
        <f t="shared" si="3"/>
        <v>2.4427480916030535</v>
      </c>
      <c r="S5" s="28">
        <f t="shared" si="4"/>
        <v>28.75</v>
      </c>
      <c r="T5" s="30">
        <v>3.15</v>
      </c>
      <c r="U5" s="25" t="s">
        <v>201</v>
      </c>
      <c r="V5" s="25"/>
      <c r="W5" s="27" t="s">
        <v>208</v>
      </c>
    </row>
    <row r="6" spans="1:23" x14ac:dyDescent="0.35">
      <c r="A6" s="25">
        <v>5</v>
      </c>
      <c r="B6" s="26">
        <v>46173</v>
      </c>
      <c r="C6" s="25" t="str">
        <f t="shared" si="0"/>
        <v>2026-05</v>
      </c>
      <c r="D6" s="25" t="str">
        <f t="shared" si="1"/>
        <v>May 2026</v>
      </c>
      <c r="E6" s="25" t="str">
        <f>IF(B6="","",IF(B6&lt;Config!$B$4,Config!$B$7,Config!$B$8))</f>
        <v>Pre</v>
      </c>
      <c r="F6" s="25" t="s">
        <v>197</v>
      </c>
      <c r="G6" s="25" t="s">
        <v>82</v>
      </c>
      <c r="H6" s="25" t="s">
        <v>86</v>
      </c>
      <c r="I6" s="25" t="s">
        <v>198</v>
      </c>
      <c r="J6" s="25"/>
      <c r="K6" s="25" t="s">
        <v>199</v>
      </c>
      <c r="L6" s="27" t="s">
        <v>209</v>
      </c>
      <c r="M6" s="28">
        <v>4550</v>
      </c>
      <c r="N6" s="29">
        <v>201000</v>
      </c>
      <c r="O6" s="29">
        <v>6620</v>
      </c>
      <c r="P6" s="30">
        <f t="shared" si="2"/>
        <v>3.293532338308458</v>
      </c>
      <c r="Q6" s="29">
        <v>158</v>
      </c>
      <c r="R6" s="30">
        <f t="shared" si="3"/>
        <v>2.3867069486404833</v>
      </c>
      <c r="S6" s="28">
        <f t="shared" si="4"/>
        <v>28.797468354430379</v>
      </c>
      <c r="T6" s="30">
        <v>3.2</v>
      </c>
      <c r="U6" s="25" t="s">
        <v>201</v>
      </c>
      <c r="V6" s="25"/>
      <c r="W6" s="27" t="s">
        <v>210</v>
      </c>
    </row>
    <row r="7" spans="1:23" ht="29" customHeight="1" x14ac:dyDescent="0.35">
      <c r="A7" s="25">
        <v>6</v>
      </c>
      <c r="B7" s="26">
        <v>46203</v>
      </c>
      <c r="C7" s="25" t="str">
        <f t="shared" si="0"/>
        <v>2026-06</v>
      </c>
      <c r="D7" s="25" t="str">
        <f t="shared" si="1"/>
        <v>Jun 2026</v>
      </c>
      <c r="E7" s="25" t="str">
        <f>IF(B7="","",IF(B7&lt;Config!$B$4,Config!$B$7,Config!$B$8))</f>
        <v>Pre</v>
      </c>
      <c r="F7" s="25" t="s">
        <v>197</v>
      </c>
      <c r="G7" s="25" t="s">
        <v>82</v>
      </c>
      <c r="H7" s="25" t="s">
        <v>86</v>
      </c>
      <c r="I7" s="25" t="s">
        <v>198</v>
      </c>
      <c r="J7" s="25"/>
      <c r="K7" s="25" t="s">
        <v>199</v>
      </c>
      <c r="L7" s="27" t="s">
        <v>211</v>
      </c>
      <c r="M7" s="28">
        <v>4700</v>
      </c>
      <c r="N7" s="29">
        <v>205000</v>
      </c>
      <c r="O7" s="29">
        <v>6800</v>
      </c>
      <c r="P7" s="30">
        <f t="shared" si="2"/>
        <v>3.3170731707317076</v>
      </c>
      <c r="Q7" s="29">
        <v>165</v>
      </c>
      <c r="R7" s="30">
        <f t="shared" si="3"/>
        <v>2.4264705882352944</v>
      </c>
      <c r="S7" s="28">
        <f t="shared" si="4"/>
        <v>28.484848484848484</v>
      </c>
      <c r="T7" s="30">
        <v>3.25</v>
      </c>
      <c r="U7" s="25" t="s">
        <v>201</v>
      </c>
      <c r="V7" s="25"/>
      <c r="W7" s="27" t="s">
        <v>212</v>
      </c>
    </row>
    <row r="8" spans="1:23" ht="29" customHeight="1" x14ac:dyDescent="0.35">
      <c r="A8" s="25">
        <v>7</v>
      </c>
      <c r="B8" s="26">
        <v>46230</v>
      </c>
      <c r="C8" s="25" t="str">
        <f t="shared" si="0"/>
        <v>2026-07</v>
      </c>
      <c r="D8" s="25" t="str">
        <f t="shared" si="1"/>
        <v>Jul 2026</v>
      </c>
      <c r="E8" s="25" t="str">
        <f>IF(B8="","",IF(B8&lt;Config!$B$4,Config!$B$7,Config!$B$8))</f>
        <v>Post</v>
      </c>
      <c r="F8" s="25" t="s">
        <v>197</v>
      </c>
      <c r="G8" s="25" t="s">
        <v>82</v>
      </c>
      <c r="H8" s="25" t="s">
        <v>86</v>
      </c>
      <c r="I8" s="25" t="s">
        <v>198</v>
      </c>
      <c r="J8" s="25"/>
      <c r="K8" s="25" t="s">
        <v>199</v>
      </c>
      <c r="L8" s="27" t="s">
        <v>213</v>
      </c>
      <c r="M8" s="28">
        <v>5100</v>
      </c>
      <c r="N8" s="29">
        <v>228000</v>
      </c>
      <c r="O8" s="29">
        <v>7450</v>
      </c>
      <c r="P8" s="30">
        <f t="shared" si="2"/>
        <v>3.2675438596491224</v>
      </c>
      <c r="Q8" s="29">
        <v>188</v>
      </c>
      <c r="R8" s="30">
        <f t="shared" si="3"/>
        <v>2.523489932885906</v>
      </c>
      <c r="S8" s="28">
        <f t="shared" si="4"/>
        <v>27.127659574468087</v>
      </c>
      <c r="T8" s="30">
        <v>3.55</v>
      </c>
      <c r="U8" s="25" t="s">
        <v>201</v>
      </c>
      <c r="V8" s="25"/>
      <c r="W8" s="27" t="s">
        <v>214</v>
      </c>
    </row>
    <row r="9" spans="1:23" ht="29" customHeight="1" x14ac:dyDescent="0.35">
      <c r="A9" s="25">
        <v>8</v>
      </c>
      <c r="B9" s="26">
        <v>46188</v>
      </c>
      <c r="C9" s="25" t="str">
        <f t="shared" si="0"/>
        <v>2026-06</v>
      </c>
      <c r="D9" s="25" t="str">
        <f t="shared" si="1"/>
        <v>Jun 2026</v>
      </c>
      <c r="E9" s="25" t="str">
        <f>IF(B9="","",IF(B9&lt;Config!$B$4,Config!$B$7,Config!$B$8))</f>
        <v>Pre</v>
      </c>
      <c r="F9" s="25" t="s">
        <v>215</v>
      </c>
      <c r="G9" s="25" t="s">
        <v>82</v>
      </c>
      <c r="H9" s="25" t="s">
        <v>86</v>
      </c>
      <c r="I9" s="25"/>
      <c r="J9" s="25"/>
      <c r="K9" s="25" t="s">
        <v>216</v>
      </c>
      <c r="L9" s="27" t="s">
        <v>217</v>
      </c>
      <c r="M9" s="28"/>
      <c r="N9" s="29"/>
      <c r="O9" s="29"/>
      <c r="P9" s="30" t="str">
        <f t="shared" si="2"/>
        <v/>
      </c>
      <c r="Q9" s="29"/>
      <c r="R9" s="30" t="str">
        <f t="shared" si="3"/>
        <v/>
      </c>
      <c r="S9" s="28" t="str">
        <f t="shared" si="4"/>
        <v/>
      </c>
      <c r="T9" s="30"/>
      <c r="U9" s="25" t="s">
        <v>201</v>
      </c>
      <c r="V9" s="25"/>
      <c r="W9" s="27" t="s">
        <v>218</v>
      </c>
    </row>
    <row r="10" spans="1:23" ht="29" customHeight="1" x14ac:dyDescent="0.35">
      <c r="A10" s="25">
        <v>9</v>
      </c>
      <c r="B10" s="26">
        <v>46204</v>
      </c>
      <c r="C10" s="25" t="str">
        <f t="shared" si="0"/>
        <v>2026-07</v>
      </c>
      <c r="D10" s="25" t="str">
        <f t="shared" si="1"/>
        <v>Jul 2026</v>
      </c>
      <c r="E10" s="25" t="str">
        <f>IF(B10="","",IF(B10&lt;Config!$B$4,Config!$B$7,Config!$B$8))</f>
        <v>Post</v>
      </c>
      <c r="F10" s="25" t="s">
        <v>215</v>
      </c>
      <c r="G10" s="25" t="s">
        <v>82</v>
      </c>
      <c r="H10" s="25" t="s">
        <v>86</v>
      </c>
      <c r="I10" s="25"/>
      <c r="J10" s="25"/>
      <c r="K10" s="25" t="s">
        <v>216</v>
      </c>
      <c r="L10" s="27" t="s">
        <v>219</v>
      </c>
      <c r="M10" s="28"/>
      <c r="N10" s="29"/>
      <c r="O10" s="29"/>
      <c r="P10" s="30" t="str">
        <f t="shared" si="2"/>
        <v/>
      </c>
      <c r="Q10" s="29"/>
      <c r="R10" s="30" t="str">
        <f t="shared" si="3"/>
        <v/>
      </c>
      <c r="S10" s="28" t="str">
        <f t="shared" si="4"/>
        <v/>
      </c>
      <c r="T10" s="30"/>
      <c r="U10" s="25" t="s">
        <v>201</v>
      </c>
      <c r="V10" s="25"/>
      <c r="W10" s="27" t="s">
        <v>220</v>
      </c>
    </row>
    <row r="11" spans="1:23" x14ac:dyDescent="0.35">
      <c r="A11" s="25">
        <v>10</v>
      </c>
      <c r="B11" s="26">
        <v>46211</v>
      </c>
      <c r="C11" s="25" t="str">
        <f t="shared" si="0"/>
        <v>2026-07</v>
      </c>
      <c r="D11" s="25" t="str">
        <f t="shared" si="1"/>
        <v>Jul 2026</v>
      </c>
      <c r="E11" s="25" t="str">
        <f>IF(B11="","",IF(B11&lt;Config!$B$4,Config!$B$7,Config!$B$8))</f>
        <v>Post</v>
      </c>
      <c r="F11" s="25" t="s">
        <v>221</v>
      </c>
      <c r="G11" s="25" t="s">
        <v>82</v>
      </c>
      <c r="H11" s="25" t="s">
        <v>86</v>
      </c>
      <c r="I11" s="25" t="s">
        <v>222</v>
      </c>
      <c r="J11" s="25" t="s">
        <v>223</v>
      </c>
      <c r="K11" s="25" t="s">
        <v>224</v>
      </c>
      <c r="L11" s="27" t="s">
        <v>225</v>
      </c>
      <c r="M11" s="28">
        <v>850</v>
      </c>
      <c r="N11" s="29">
        <v>42000</v>
      </c>
      <c r="O11" s="29">
        <v>1400</v>
      </c>
      <c r="P11" s="30">
        <f t="shared" si="2"/>
        <v>3.3333333333333335</v>
      </c>
      <c r="Q11" s="29">
        <v>28</v>
      </c>
      <c r="R11" s="30">
        <f t="shared" si="3"/>
        <v>2</v>
      </c>
      <c r="S11" s="28">
        <f t="shared" si="4"/>
        <v>30.357142857142858</v>
      </c>
      <c r="T11" s="30">
        <v>3.8</v>
      </c>
      <c r="U11" s="25" t="s">
        <v>201</v>
      </c>
      <c r="V11" s="25"/>
      <c r="W11" s="27" t="s">
        <v>226</v>
      </c>
    </row>
    <row r="12" spans="1:23" x14ac:dyDescent="0.35">
      <c r="A12" s="25">
        <v>11</v>
      </c>
      <c r="B12" s="26">
        <v>46213</v>
      </c>
      <c r="C12" s="25" t="str">
        <f t="shared" si="0"/>
        <v>2026-07</v>
      </c>
      <c r="D12" s="25" t="str">
        <f t="shared" si="1"/>
        <v>Jul 2026</v>
      </c>
      <c r="E12" s="25" t="str">
        <f>IF(B12="","",IF(B12&lt;Config!$B$4,Config!$B$7,Config!$B$8))</f>
        <v>Post</v>
      </c>
      <c r="F12" s="25" t="s">
        <v>221</v>
      </c>
      <c r="G12" s="25" t="s">
        <v>82</v>
      </c>
      <c r="H12" s="25" t="s">
        <v>86</v>
      </c>
      <c r="I12" s="25" t="s">
        <v>222</v>
      </c>
      <c r="J12" s="25" t="s">
        <v>227</v>
      </c>
      <c r="K12" s="25" t="s">
        <v>224</v>
      </c>
      <c r="L12" s="27" t="s">
        <v>228</v>
      </c>
      <c r="M12" s="28">
        <v>620</v>
      </c>
      <c r="N12" s="29">
        <v>31000</v>
      </c>
      <c r="O12" s="29">
        <v>980</v>
      </c>
      <c r="P12" s="30">
        <f t="shared" si="2"/>
        <v>3.1612903225806455</v>
      </c>
      <c r="Q12" s="29">
        <v>19</v>
      </c>
      <c r="R12" s="30">
        <f t="shared" si="3"/>
        <v>1.9387755102040816</v>
      </c>
      <c r="S12" s="28">
        <f t="shared" si="4"/>
        <v>32.631578947368418</v>
      </c>
      <c r="T12" s="30">
        <v>3.4</v>
      </c>
      <c r="U12" s="25" t="s">
        <v>201</v>
      </c>
      <c r="V12" s="25"/>
      <c r="W12" s="27" t="s">
        <v>226</v>
      </c>
    </row>
    <row r="13" spans="1:23" x14ac:dyDescent="0.35">
      <c r="A13" s="10" t="str">
        <f t="shared" ref="A13:A44" si="5">IF(B13="","",ROW()-1)</f>
        <v/>
      </c>
      <c r="B13" s="8"/>
      <c r="C13" s="10" t="str">
        <f t="shared" si="0"/>
        <v/>
      </c>
      <c r="D13" s="10" t="str">
        <f t="shared" si="1"/>
        <v/>
      </c>
      <c r="E13" s="10" t="str">
        <f>IF(B13="","",IF(B13&lt;Config!$B$4,Config!$B$7,Config!$B$8))</f>
        <v/>
      </c>
      <c r="F13" s="10"/>
      <c r="G13" s="10"/>
      <c r="H13" s="10"/>
      <c r="I13" s="10"/>
      <c r="J13" s="10"/>
      <c r="K13" s="10"/>
      <c r="L13" s="10"/>
      <c r="M13" s="31"/>
      <c r="N13" s="32"/>
      <c r="O13" s="32"/>
      <c r="P13" s="33" t="str">
        <f t="shared" si="2"/>
        <v/>
      </c>
      <c r="Q13" s="32"/>
      <c r="R13" s="33" t="str">
        <f t="shared" si="3"/>
        <v/>
      </c>
      <c r="S13" s="31" t="str">
        <f t="shared" si="4"/>
        <v/>
      </c>
      <c r="T13" s="33"/>
      <c r="U13" s="10"/>
      <c r="V13" s="10"/>
      <c r="W13" s="10"/>
    </row>
    <row r="14" spans="1:23" x14ac:dyDescent="0.35">
      <c r="A14" s="10" t="str">
        <f t="shared" si="5"/>
        <v/>
      </c>
      <c r="B14" s="8"/>
      <c r="C14" s="10" t="str">
        <f t="shared" si="0"/>
        <v/>
      </c>
      <c r="D14" s="10" t="str">
        <f t="shared" si="1"/>
        <v/>
      </c>
      <c r="E14" s="10" t="str">
        <f>IF(B14="","",IF(B14&lt;Config!$B$4,Config!$B$7,Config!$B$8))</f>
        <v/>
      </c>
      <c r="F14" s="10"/>
      <c r="G14" s="10"/>
      <c r="H14" s="10"/>
      <c r="I14" s="10"/>
      <c r="J14" s="10"/>
      <c r="K14" s="10"/>
      <c r="L14" s="10"/>
      <c r="M14" s="31"/>
      <c r="N14" s="32"/>
      <c r="O14" s="32"/>
      <c r="P14" s="33" t="str">
        <f t="shared" si="2"/>
        <v/>
      </c>
      <c r="Q14" s="32"/>
      <c r="R14" s="33" t="str">
        <f t="shared" si="3"/>
        <v/>
      </c>
      <c r="S14" s="31" t="str">
        <f t="shared" si="4"/>
        <v/>
      </c>
      <c r="T14" s="33"/>
      <c r="U14" s="10"/>
      <c r="V14" s="10"/>
      <c r="W14" s="10"/>
    </row>
    <row r="15" spans="1:23" x14ac:dyDescent="0.35">
      <c r="A15" s="10" t="str">
        <f t="shared" si="5"/>
        <v/>
      </c>
      <c r="B15" s="8"/>
      <c r="C15" s="10" t="str">
        <f t="shared" si="0"/>
        <v/>
      </c>
      <c r="D15" s="10" t="str">
        <f t="shared" si="1"/>
        <v/>
      </c>
      <c r="E15" s="10" t="str">
        <f>IF(B15="","",IF(B15&lt;Config!$B$4,Config!$B$7,Config!$B$8))</f>
        <v/>
      </c>
      <c r="F15" s="10"/>
      <c r="G15" s="10"/>
      <c r="H15" s="10"/>
      <c r="I15" s="10"/>
      <c r="J15" s="10"/>
      <c r="K15" s="10"/>
      <c r="L15" s="10"/>
      <c r="M15" s="31"/>
      <c r="N15" s="32"/>
      <c r="O15" s="32"/>
      <c r="P15" s="33" t="str">
        <f t="shared" si="2"/>
        <v/>
      </c>
      <c r="Q15" s="32"/>
      <c r="R15" s="33" t="str">
        <f t="shared" si="3"/>
        <v/>
      </c>
      <c r="S15" s="31" t="str">
        <f t="shared" si="4"/>
        <v/>
      </c>
      <c r="T15" s="33"/>
      <c r="U15" s="10"/>
      <c r="V15" s="10"/>
      <c r="W15" s="10"/>
    </row>
    <row r="16" spans="1:23" x14ac:dyDescent="0.35">
      <c r="A16" s="10" t="str">
        <f t="shared" si="5"/>
        <v/>
      </c>
      <c r="B16" s="8"/>
      <c r="C16" s="10" t="str">
        <f t="shared" si="0"/>
        <v/>
      </c>
      <c r="D16" s="10" t="str">
        <f t="shared" si="1"/>
        <v/>
      </c>
      <c r="E16" s="10" t="str">
        <f>IF(B16="","",IF(B16&lt;Config!$B$4,Config!$B$7,Config!$B$8))</f>
        <v/>
      </c>
      <c r="F16" s="10"/>
      <c r="G16" s="10"/>
      <c r="H16" s="10"/>
      <c r="I16" s="10"/>
      <c r="J16" s="10"/>
      <c r="K16" s="10"/>
      <c r="L16" s="10"/>
      <c r="M16" s="31"/>
      <c r="N16" s="32"/>
      <c r="O16" s="32"/>
      <c r="P16" s="33" t="str">
        <f t="shared" si="2"/>
        <v/>
      </c>
      <c r="Q16" s="32"/>
      <c r="R16" s="33" t="str">
        <f t="shared" si="3"/>
        <v/>
      </c>
      <c r="S16" s="31" t="str">
        <f t="shared" si="4"/>
        <v/>
      </c>
      <c r="T16" s="33"/>
      <c r="U16" s="10"/>
      <c r="V16" s="10"/>
      <c r="W16" s="10"/>
    </row>
    <row r="17" spans="1:23" x14ac:dyDescent="0.35">
      <c r="A17" s="10" t="str">
        <f t="shared" si="5"/>
        <v/>
      </c>
      <c r="B17" s="8"/>
      <c r="C17" s="10" t="str">
        <f t="shared" si="0"/>
        <v/>
      </c>
      <c r="D17" s="10" t="str">
        <f t="shared" si="1"/>
        <v/>
      </c>
      <c r="E17" s="10" t="str">
        <f>IF(B17="","",IF(B17&lt;Config!$B$4,Config!$B$7,Config!$B$8))</f>
        <v/>
      </c>
      <c r="F17" s="10"/>
      <c r="G17" s="10"/>
      <c r="H17" s="10"/>
      <c r="I17" s="10"/>
      <c r="J17" s="10"/>
      <c r="K17" s="10"/>
      <c r="L17" s="10"/>
      <c r="M17" s="31"/>
      <c r="N17" s="32"/>
      <c r="O17" s="32"/>
      <c r="P17" s="33" t="str">
        <f t="shared" si="2"/>
        <v/>
      </c>
      <c r="Q17" s="32"/>
      <c r="R17" s="33" t="str">
        <f t="shared" si="3"/>
        <v/>
      </c>
      <c r="S17" s="31" t="str">
        <f t="shared" si="4"/>
        <v/>
      </c>
      <c r="T17" s="33"/>
      <c r="U17" s="10"/>
      <c r="V17" s="10"/>
      <c r="W17" s="10"/>
    </row>
    <row r="18" spans="1:23" x14ac:dyDescent="0.35">
      <c r="A18" s="10" t="str">
        <f t="shared" si="5"/>
        <v/>
      </c>
      <c r="B18" s="8"/>
      <c r="C18" s="10" t="str">
        <f t="shared" si="0"/>
        <v/>
      </c>
      <c r="D18" s="10" t="str">
        <f t="shared" si="1"/>
        <v/>
      </c>
      <c r="E18" s="10" t="str">
        <f>IF(B18="","",IF(B18&lt;Config!$B$4,Config!$B$7,Config!$B$8))</f>
        <v/>
      </c>
      <c r="F18" s="10"/>
      <c r="G18" s="10"/>
      <c r="H18" s="10"/>
      <c r="I18" s="10"/>
      <c r="J18" s="10"/>
      <c r="K18" s="10"/>
      <c r="L18" s="10"/>
      <c r="M18" s="31"/>
      <c r="N18" s="32"/>
      <c r="O18" s="32"/>
      <c r="P18" s="33" t="str">
        <f t="shared" si="2"/>
        <v/>
      </c>
      <c r="Q18" s="32"/>
      <c r="R18" s="33" t="str">
        <f t="shared" si="3"/>
        <v/>
      </c>
      <c r="S18" s="31" t="str">
        <f t="shared" si="4"/>
        <v/>
      </c>
      <c r="T18" s="33"/>
      <c r="U18" s="10"/>
      <c r="V18" s="10"/>
      <c r="W18" s="10"/>
    </row>
    <row r="19" spans="1:23" x14ac:dyDescent="0.35">
      <c r="A19" s="10" t="str">
        <f t="shared" si="5"/>
        <v/>
      </c>
      <c r="B19" s="8"/>
      <c r="C19" s="10" t="str">
        <f t="shared" si="0"/>
        <v/>
      </c>
      <c r="D19" s="10" t="str">
        <f t="shared" si="1"/>
        <v/>
      </c>
      <c r="E19" s="10" t="str">
        <f>IF(B19="","",IF(B19&lt;Config!$B$4,Config!$B$7,Config!$B$8))</f>
        <v/>
      </c>
      <c r="F19" s="10"/>
      <c r="G19" s="10"/>
      <c r="H19" s="10"/>
      <c r="I19" s="10"/>
      <c r="J19" s="10"/>
      <c r="K19" s="10"/>
      <c r="L19" s="10"/>
      <c r="M19" s="31"/>
      <c r="N19" s="32"/>
      <c r="O19" s="32"/>
      <c r="P19" s="33" t="str">
        <f t="shared" si="2"/>
        <v/>
      </c>
      <c r="Q19" s="32"/>
      <c r="R19" s="33" t="str">
        <f t="shared" si="3"/>
        <v/>
      </c>
      <c r="S19" s="31" t="str">
        <f t="shared" si="4"/>
        <v/>
      </c>
      <c r="T19" s="33"/>
      <c r="U19" s="10"/>
      <c r="V19" s="10"/>
      <c r="W19" s="10"/>
    </row>
    <row r="20" spans="1:23" x14ac:dyDescent="0.35">
      <c r="A20" s="10" t="str">
        <f t="shared" si="5"/>
        <v/>
      </c>
      <c r="B20" s="8"/>
      <c r="C20" s="10" t="str">
        <f t="shared" si="0"/>
        <v/>
      </c>
      <c r="D20" s="10" t="str">
        <f t="shared" si="1"/>
        <v/>
      </c>
      <c r="E20" s="10" t="str">
        <f>IF(B20="","",IF(B20&lt;Config!$B$4,Config!$B$7,Config!$B$8))</f>
        <v/>
      </c>
      <c r="F20" s="10"/>
      <c r="G20" s="10"/>
      <c r="H20" s="10"/>
      <c r="I20" s="10"/>
      <c r="J20" s="10"/>
      <c r="K20" s="10"/>
      <c r="L20" s="10"/>
      <c r="M20" s="31"/>
      <c r="N20" s="32"/>
      <c r="O20" s="32"/>
      <c r="P20" s="33" t="str">
        <f t="shared" si="2"/>
        <v/>
      </c>
      <c r="Q20" s="32"/>
      <c r="R20" s="33" t="str">
        <f t="shared" si="3"/>
        <v/>
      </c>
      <c r="S20" s="31" t="str">
        <f t="shared" si="4"/>
        <v/>
      </c>
      <c r="T20" s="33"/>
      <c r="U20" s="10"/>
      <c r="V20" s="10"/>
      <c r="W20" s="10"/>
    </row>
    <row r="21" spans="1:23" x14ac:dyDescent="0.35">
      <c r="A21" s="10" t="str">
        <f t="shared" si="5"/>
        <v/>
      </c>
      <c r="B21" s="8"/>
      <c r="C21" s="10" t="str">
        <f t="shared" si="0"/>
        <v/>
      </c>
      <c r="D21" s="10" t="str">
        <f t="shared" si="1"/>
        <v/>
      </c>
      <c r="E21" s="10" t="str">
        <f>IF(B21="","",IF(B21&lt;Config!$B$4,Config!$B$7,Config!$B$8))</f>
        <v/>
      </c>
      <c r="F21" s="10"/>
      <c r="G21" s="10"/>
      <c r="H21" s="10"/>
      <c r="I21" s="10"/>
      <c r="J21" s="10"/>
      <c r="K21" s="10"/>
      <c r="L21" s="10"/>
      <c r="M21" s="31"/>
      <c r="N21" s="32"/>
      <c r="O21" s="32"/>
      <c r="P21" s="33" t="str">
        <f t="shared" si="2"/>
        <v/>
      </c>
      <c r="Q21" s="32"/>
      <c r="R21" s="33" t="str">
        <f t="shared" si="3"/>
        <v/>
      </c>
      <c r="S21" s="31" t="str">
        <f t="shared" si="4"/>
        <v/>
      </c>
      <c r="T21" s="33"/>
      <c r="U21" s="10"/>
      <c r="V21" s="10"/>
      <c r="W21" s="10"/>
    </row>
    <row r="22" spans="1:23" x14ac:dyDescent="0.35">
      <c r="A22" s="10" t="str">
        <f t="shared" si="5"/>
        <v/>
      </c>
      <c r="B22" s="8"/>
      <c r="C22" s="10" t="str">
        <f t="shared" si="0"/>
        <v/>
      </c>
      <c r="D22" s="10" t="str">
        <f t="shared" si="1"/>
        <v/>
      </c>
      <c r="E22" s="10" t="str">
        <f>IF(B22="","",IF(B22&lt;Config!$B$4,Config!$B$7,Config!$B$8))</f>
        <v/>
      </c>
      <c r="F22" s="10"/>
      <c r="G22" s="10"/>
      <c r="H22" s="10"/>
      <c r="I22" s="10"/>
      <c r="J22" s="10"/>
      <c r="K22" s="10"/>
      <c r="L22" s="10"/>
      <c r="M22" s="31"/>
      <c r="N22" s="32"/>
      <c r="O22" s="32"/>
      <c r="P22" s="33" t="str">
        <f t="shared" si="2"/>
        <v/>
      </c>
      <c r="Q22" s="32"/>
      <c r="R22" s="33" t="str">
        <f t="shared" si="3"/>
        <v/>
      </c>
      <c r="S22" s="31" t="str">
        <f t="shared" si="4"/>
        <v/>
      </c>
      <c r="T22" s="33"/>
      <c r="U22" s="10"/>
      <c r="V22" s="10"/>
      <c r="W22" s="10"/>
    </row>
    <row r="23" spans="1:23" x14ac:dyDescent="0.35">
      <c r="A23" s="10" t="str">
        <f t="shared" si="5"/>
        <v/>
      </c>
      <c r="B23" s="8"/>
      <c r="C23" s="10" t="str">
        <f t="shared" si="0"/>
        <v/>
      </c>
      <c r="D23" s="10" t="str">
        <f t="shared" si="1"/>
        <v/>
      </c>
      <c r="E23" s="10" t="str">
        <f>IF(B23="","",IF(B23&lt;Config!$B$4,Config!$B$7,Config!$B$8))</f>
        <v/>
      </c>
      <c r="F23" s="10"/>
      <c r="G23" s="10"/>
      <c r="H23" s="10"/>
      <c r="I23" s="10"/>
      <c r="J23" s="10"/>
      <c r="K23" s="10"/>
      <c r="L23" s="10"/>
      <c r="M23" s="31"/>
      <c r="N23" s="32"/>
      <c r="O23" s="32"/>
      <c r="P23" s="33" t="str">
        <f t="shared" si="2"/>
        <v/>
      </c>
      <c r="Q23" s="32"/>
      <c r="R23" s="33" t="str">
        <f t="shared" si="3"/>
        <v/>
      </c>
      <c r="S23" s="31" t="str">
        <f t="shared" si="4"/>
        <v/>
      </c>
      <c r="T23" s="33"/>
      <c r="U23" s="10"/>
      <c r="V23" s="10"/>
      <c r="W23" s="10"/>
    </row>
    <row r="24" spans="1:23" x14ac:dyDescent="0.35">
      <c r="A24" s="10" t="str">
        <f t="shared" si="5"/>
        <v/>
      </c>
      <c r="B24" s="8"/>
      <c r="C24" s="10" t="str">
        <f t="shared" si="0"/>
        <v/>
      </c>
      <c r="D24" s="10" t="str">
        <f t="shared" si="1"/>
        <v/>
      </c>
      <c r="E24" s="10" t="str">
        <f>IF(B24="","",IF(B24&lt;Config!$B$4,Config!$B$7,Config!$B$8))</f>
        <v/>
      </c>
      <c r="F24" s="10"/>
      <c r="G24" s="10"/>
      <c r="H24" s="10"/>
      <c r="I24" s="10"/>
      <c r="J24" s="10"/>
      <c r="K24" s="10"/>
      <c r="L24" s="10"/>
      <c r="M24" s="31"/>
      <c r="N24" s="32"/>
      <c r="O24" s="32"/>
      <c r="P24" s="33" t="str">
        <f t="shared" si="2"/>
        <v/>
      </c>
      <c r="Q24" s="32"/>
      <c r="R24" s="33" t="str">
        <f t="shared" si="3"/>
        <v/>
      </c>
      <c r="S24" s="31" t="str">
        <f t="shared" si="4"/>
        <v/>
      </c>
      <c r="T24" s="33"/>
      <c r="U24" s="10"/>
      <c r="V24" s="10"/>
      <c r="W24" s="10"/>
    </row>
    <row r="25" spans="1:23" x14ac:dyDescent="0.35">
      <c r="A25" s="10" t="str">
        <f t="shared" si="5"/>
        <v/>
      </c>
      <c r="B25" s="8"/>
      <c r="C25" s="10" t="str">
        <f t="shared" si="0"/>
        <v/>
      </c>
      <c r="D25" s="10" t="str">
        <f t="shared" si="1"/>
        <v/>
      </c>
      <c r="E25" s="10" t="str">
        <f>IF(B25="","",IF(B25&lt;Config!$B$4,Config!$B$7,Config!$B$8))</f>
        <v/>
      </c>
      <c r="F25" s="10"/>
      <c r="G25" s="10"/>
      <c r="H25" s="10"/>
      <c r="I25" s="10"/>
      <c r="J25" s="10"/>
      <c r="K25" s="10"/>
      <c r="L25" s="10"/>
      <c r="M25" s="31"/>
      <c r="N25" s="32"/>
      <c r="O25" s="32"/>
      <c r="P25" s="33" t="str">
        <f t="shared" si="2"/>
        <v/>
      </c>
      <c r="Q25" s="32"/>
      <c r="R25" s="33" t="str">
        <f t="shared" si="3"/>
        <v/>
      </c>
      <c r="S25" s="31" t="str">
        <f t="shared" si="4"/>
        <v/>
      </c>
      <c r="T25" s="33"/>
      <c r="U25" s="10"/>
      <c r="V25" s="10"/>
      <c r="W25" s="10"/>
    </row>
    <row r="26" spans="1:23" x14ac:dyDescent="0.35">
      <c r="A26" s="10" t="str">
        <f t="shared" si="5"/>
        <v/>
      </c>
      <c r="B26" s="8"/>
      <c r="C26" s="10" t="str">
        <f t="shared" si="0"/>
        <v/>
      </c>
      <c r="D26" s="10" t="str">
        <f t="shared" si="1"/>
        <v/>
      </c>
      <c r="E26" s="10" t="str">
        <f>IF(B26="","",IF(B26&lt;Config!$B$4,Config!$B$7,Config!$B$8))</f>
        <v/>
      </c>
      <c r="F26" s="10"/>
      <c r="G26" s="10"/>
      <c r="H26" s="10"/>
      <c r="I26" s="10"/>
      <c r="J26" s="10"/>
      <c r="K26" s="10"/>
      <c r="L26" s="10"/>
      <c r="M26" s="31"/>
      <c r="N26" s="32"/>
      <c r="O26" s="32"/>
      <c r="P26" s="33" t="str">
        <f t="shared" si="2"/>
        <v/>
      </c>
      <c r="Q26" s="32"/>
      <c r="R26" s="33" t="str">
        <f t="shared" si="3"/>
        <v/>
      </c>
      <c r="S26" s="31" t="str">
        <f t="shared" si="4"/>
        <v/>
      </c>
      <c r="T26" s="33"/>
      <c r="U26" s="10"/>
      <c r="V26" s="10"/>
      <c r="W26" s="10"/>
    </row>
    <row r="27" spans="1:23" x14ac:dyDescent="0.35">
      <c r="A27" s="10" t="str">
        <f t="shared" si="5"/>
        <v/>
      </c>
      <c r="B27" s="8"/>
      <c r="C27" s="10" t="str">
        <f t="shared" si="0"/>
        <v/>
      </c>
      <c r="D27" s="10" t="str">
        <f t="shared" si="1"/>
        <v/>
      </c>
      <c r="E27" s="10" t="str">
        <f>IF(B27="","",IF(B27&lt;Config!$B$4,Config!$B$7,Config!$B$8))</f>
        <v/>
      </c>
      <c r="F27" s="10"/>
      <c r="G27" s="10"/>
      <c r="H27" s="10"/>
      <c r="I27" s="10"/>
      <c r="J27" s="10"/>
      <c r="K27" s="10"/>
      <c r="L27" s="10"/>
      <c r="M27" s="31"/>
      <c r="N27" s="32"/>
      <c r="O27" s="32"/>
      <c r="P27" s="33" t="str">
        <f t="shared" si="2"/>
        <v/>
      </c>
      <c r="Q27" s="32"/>
      <c r="R27" s="33" t="str">
        <f t="shared" si="3"/>
        <v/>
      </c>
      <c r="S27" s="31" t="str">
        <f t="shared" si="4"/>
        <v/>
      </c>
      <c r="T27" s="33"/>
      <c r="U27" s="10"/>
      <c r="V27" s="10"/>
      <c r="W27" s="10"/>
    </row>
    <row r="28" spans="1:23" x14ac:dyDescent="0.35">
      <c r="A28" s="10" t="str">
        <f t="shared" si="5"/>
        <v/>
      </c>
      <c r="B28" s="8"/>
      <c r="C28" s="10" t="str">
        <f t="shared" si="0"/>
        <v/>
      </c>
      <c r="D28" s="10" t="str">
        <f t="shared" si="1"/>
        <v/>
      </c>
      <c r="E28" s="10" t="str">
        <f>IF(B28="","",IF(B28&lt;Config!$B$4,Config!$B$7,Config!$B$8))</f>
        <v/>
      </c>
      <c r="F28" s="10"/>
      <c r="G28" s="10"/>
      <c r="H28" s="10"/>
      <c r="I28" s="10"/>
      <c r="J28" s="10"/>
      <c r="K28" s="10"/>
      <c r="L28" s="10"/>
      <c r="M28" s="31"/>
      <c r="N28" s="32"/>
      <c r="O28" s="32"/>
      <c r="P28" s="33" t="str">
        <f t="shared" si="2"/>
        <v/>
      </c>
      <c r="Q28" s="32"/>
      <c r="R28" s="33" t="str">
        <f t="shared" si="3"/>
        <v/>
      </c>
      <c r="S28" s="31" t="str">
        <f t="shared" si="4"/>
        <v/>
      </c>
      <c r="T28" s="33"/>
      <c r="U28" s="10"/>
      <c r="V28" s="10"/>
      <c r="W28" s="10"/>
    </row>
    <row r="29" spans="1:23" x14ac:dyDescent="0.35">
      <c r="A29" s="10" t="str">
        <f t="shared" si="5"/>
        <v/>
      </c>
      <c r="B29" s="8"/>
      <c r="C29" s="10" t="str">
        <f t="shared" si="0"/>
        <v/>
      </c>
      <c r="D29" s="10" t="str">
        <f t="shared" si="1"/>
        <v/>
      </c>
      <c r="E29" s="10" t="str">
        <f>IF(B29="","",IF(B29&lt;Config!$B$4,Config!$B$7,Config!$B$8))</f>
        <v/>
      </c>
      <c r="F29" s="10"/>
      <c r="G29" s="10"/>
      <c r="H29" s="10"/>
      <c r="I29" s="10"/>
      <c r="J29" s="10"/>
      <c r="K29" s="10"/>
      <c r="L29" s="10"/>
      <c r="M29" s="31"/>
      <c r="N29" s="32"/>
      <c r="O29" s="32"/>
      <c r="P29" s="33" t="str">
        <f t="shared" si="2"/>
        <v/>
      </c>
      <c r="Q29" s="32"/>
      <c r="R29" s="33" t="str">
        <f t="shared" si="3"/>
        <v/>
      </c>
      <c r="S29" s="31" t="str">
        <f t="shared" si="4"/>
        <v/>
      </c>
      <c r="T29" s="33"/>
      <c r="U29" s="10"/>
      <c r="V29" s="10"/>
      <c r="W29" s="10"/>
    </row>
    <row r="30" spans="1:23" x14ac:dyDescent="0.35">
      <c r="A30" s="10" t="str">
        <f t="shared" si="5"/>
        <v/>
      </c>
      <c r="B30" s="8"/>
      <c r="C30" s="10" t="str">
        <f t="shared" si="0"/>
        <v/>
      </c>
      <c r="D30" s="10" t="str">
        <f t="shared" si="1"/>
        <v/>
      </c>
      <c r="E30" s="10" t="str">
        <f>IF(B30="","",IF(B30&lt;Config!$B$4,Config!$B$7,Config!$B$8))</f>
        <v/>
      </c>
      <c r="F30" s="10"/>
      <c r="G30" s="10"/>
      <c r="H30" s="10"/>
      <c r="I30" s="10"/>
      <c r="J30" s="10"/>
      <c r="K30" s="10"/>
      <c r="L30" s="10"/>
      <c r="M30" s="31"/>
      <c r="N30" s="32"/>
      <c r="O30" s="32"/>
      <c r="P30" s="33" t="str">
        <f t="shared" si="2"/>
        <v/>
      </c>
      <c r="Q30" s="32"/>
      <c r="R30" s="33" t="str">
        <f t="shared" si="3"/>
        <v/>
      </c>
      <c r="S30" s="31" t="str">
        <f t="shared" si="4"/>
        <v/>
      </c>
      <c r="T30" s="33"/>
      <c r="U30" s="10"/>
      <c r="V30" s="10"/>
      <c r="W30" s="10"/>
    </row>
    <row r="31" spans="1:23" x14ac:dyDescent="0.35">
      <c r="A31" s="10" t="str">
        <f t="shared" si="5"/>
        <v/>
      </c>
      <c r="B31" s="8"/>
      <c r="C31" s="10" t="str">
        <f t="shared" si="0"/>
        <v/>
      </c>
      <c r="D31" s="10" t="str">
        <f t="shared" si="1"/>
        <v/>
      </c>
      <c r="E31" s="10" t="str">
        <f>IF(B31="","",IF(B31&lt;Config!$B$4,Config!$B$7,Config!$B$8))</f>
        <v/>
      </c>
      <c r="F31" s="10"/>
      <c r="G31" s="10"/>
      <c r="H31" s="10"/>
      <c r="I31" s="10"/>
      <c r="J31" s="10"/>
      <c r="K31" s="10"/>
      <c r="L31" s="10"/>
      <c r="M31" s="31"/>
      <c r="N31" s="32"/>
      <c r="O31" s="32"/>
      <c r="P31" s="33" t="str">
        <f t="shared" si="2"/>
        <v/>
      </c>
      <c r="Q31" s="32"/>
      <c r="R31" s="33" t="str">
        <f t="shared" si="3"/>
        <v/>
      </c>
      <c r="S31" s="31" t="str">
        <f t="shared" si="4"/>
        <v/>
      </c>
      <c r="T31" s="33"/>
      <c r="U31" s="10"/>
      <c r="V31" s="10"/>
      <c r="W31" s="10"/>
    </row>
    <row r="32" spans="1:23" x14ac:dyDescent="0.35">
      <c r="A32" s="10" t="str">
        <f t="shared" si="5"/>
        <v/>
      </c>
      <c r="B32" s="8"/>
      <c r="C32" s="10" t="str">
        <f t="shared" si="0"/>
        <v/>
      </c>
      <c r="D32" s="10" t="str">
        <f t="shared" si="1"/>
        <v/>
      </c>
      <c r="E32" s="10" t="str">
        <f>IF(B32="","",IF(B32&lt;Config!$B$4,Config!$B$7,Config!$B$8))</f>
        <v/>
      </c>
      <c r="F32" s="10"/>
      <c r="G32" s="10"/>
      <c r="H32" s="10"/>
      <c r="I32" s="10"/>
      <c r="J32" s="10"/>
      <c r="K32" s="10"/>
      <c r="L32" s="10"/>
      <c r="M32" s="31"/>
      <c r="N32" s="32"/>
      <c r="O32" s="32"/>
      <c r="P32" s="33" t="str">
        <f t="shared" si="2"/>
        <v/>
      </c>
      <c r="Q32" s="32"/>
      <c r="R32" s="33" t="str">
        <f t="shared" si="3"/>
        <v/>
      </c>
      <c r="S32" s="31" t="str">
        <f t="shared" si="4"/>
        <v/>
      </c>
      <c r="T32" s="33"/>
      <c r="U32" s="10"/>
      <c r="V32" s="10"/>
      <c r="W32" s="10"/>
    </row>
    <row r="33" spans="1:23" x14ac:dyDescent="0.35">
      <c r="A33" s="10" t="str">
        <f t="shared" si="5"/>
        <v/>
      </c>
      <c r="B33" s="8"/>
      <c r="C33" s="10" t="str">
        <f t="shared" si="0"/>
        <v/>
      </c>
      <c r="D33" s="10" t="str">
        <f t="shared" si="1"/>
        <v/>
      </c>
      <c r="E33" s="10" t="str">
        <f>IF(B33="","",IF(B33&lt;Config!$B$4,Config!$B$7,Config!$B$8))</f>
        <v/>
      </c>
      <c r="F33" s="10"/>
      <c r="G33" s="10"/>
      <c r="H33" s="10"/>
      <c r="I33" s="10"/>
      <c r="J33" s="10"/>
      <c r="K33" s="10"/>
      <c r="L33" s="10"/>
      <c r="M33" s="31"/>
      <c r="N33" s="32"/>
      <c r="O33" s="32"/>
      <c r="P33" s="33" t="str">
        <f t="shared" si="2"/>
        <v/>
      </c>
      <c r="Q33" s="32"/>
      <c r="R33" s="33" t="str">
        <f t="shared" si="3"/>
        <v/>
      </c>
      <c r="S33" s="31" t="str">
        <f t="shared" si="4"/>
        <v/>
      </c>
      <c r="T33" s="33"/>
      <c r="U33" s="10"/>
      <c r="V33" s="10"/>
      <c r="W33" s="10"/>
    </row>
    <row r="34" spans="1:23" x14ac:dyDescent="0.35">
      <c r="A34" s="10" t="str">
        <f t="shared" si="5"/>
        <v/>
      </c>
      <c r="B34" s="8"/>
      <c r="C34" s="10" t="str">
        <f t="shared" ref="C34:C65" si="6">IF(B34="","",TEXT(B34,"YYYY-MM"))</f>
        <v/>
      </c>
      <c r="D34" s="10" t="str">
        <f t="shared" ref="D34:D65" si="7">IF(B34="","",TEXT(B34,"MMM YYYY"))</f>
        <v/>
      </c>
      <c r="E34" s="10" t="str">
        <f>IF(B34="","",IF(B34&lt;Config!$B$4,Config!$B$7,Config!$B$8))</f>
        <v/>
      </c>
      <c r="F34" s="10"/>
      <c r="G34" s="10"/>
      <c r="H34" s="10"/>
      <c r="I34" s="10"/>
      <c r="J34" s="10"/>
      <c r="K34" s="10"/>
      <c r="L34" s="10"/>
      <c r="M34" s="31"/>
      <c r="N34" s="32"/>
      <c r="O34" s="32"/>
      <c r="P34" s="33" t="str">
        <f t="shared" ref="P34:P65" si="8">IF(OR(N34="",O34=""),"",IF(N34=0,"",O34/N34*100))</f>
        <v/>
      </c>
      <c r="Q34" s="32"/>
      <c r="R34" s="33" t="str">
        <f t="shared" ref="R34:R65" si="9">IF(OR(O34="",Q34=""),"",IF(O34=0,"",Q34/O34*100))</f>
        <v/>
      </c>
      <c r="S34" s="31" t="str">
        <f t="shared" ref="S34:S65" si="10">IF(OR(M34="",Q34=""),"",IF(Q34=0,"",M34/Q34))</f>
        <v/>
      </c>
      <c r="T34" s="33"/>
      <c r="U34" s="10"/>
      <c r="V34" s="10"/>
      <c r="W34" s="10"/>
    </row>
    <row r="35" spans="1:23" x14ac:dyDescent="0.35">
      <c r="A35" s="10" t="str">
        <f t="shared" si="5"/>
        <v/>
      </c>
      <c r="B35" s="8"/>
      <c r="C35" s="10" t="str">
        <f t="shared" si="6"/>
        <v/>
      </c>
      <c r="D35" s="10" t="str">
        <f t="shared" si="7"/>
        <v/>
      </c>
      <c r="E35" s="10" t="str">
        <f>IF(B35="","",IF(B35&lt;Config!$B$4,Config!$B$7,Config!$B$8))</f>
        <v/>
      </c>
      <c r="F35" s="10"/>
      <c r="G35" s="10"/>
      <c r="H35" s="10"/>
      <c r="I35" s="10"/>
      <c r="J35" s="10"/>
      <c r="K35" s="10"/>
      <c r="L35" s="10"/>
      <c r="M35" s="31"/>
      <c r="N35" s="32"/>
      <c r="O35" s="32"/>
      <c r="P35" s="33" t="str">
        <f t="shared" si="8"/>
        <v/>
      </c>
      <c r="Q35" s="32"/>
      <c r="R35" s="33" t="str">
        <f t="shared" si="9"/>
        <v/>
      </c>
      <c r="S35" s="31" t="str">
        <f t="shared" si="10"/>
        <v/>
      </c>
      <c r="T35" s="33"/>
      <c r="U35" s="10"/>
      <c r="V35" s="10"/>
      <c r="W35" s="10"/>
    </row>
    <row r="36" spans="1:23" x14ac:dyDescent="0.35">
      <c r="A36" s="10" t="str">
        <f t="shared" si="5"/>
        <v/>
      </c>
      <c r="B36" s="8"/>
      <c r="C36" s="10" t="str">
        <f t="shared" si="6"/>
        <v/>
      </c>
      <c r="D36" s="10" t="str">
        <f t="shared" si="7"/>
        <v/>
      </c>
      <c r="E36" s="10" t="str">
        <f>IF(B36="","",IF(B36&lt;Config!$B$4,Config!$B$7,Config!$B$8))</f>
        <v/>
      </c>
      <c r="F36" s="10"/>
      <c r="G36" s="10"/>
      <c r="H36" s="10"/>
      <c r="I36" s="10"/>
      <c r="J36" s="10"/>
      <c r="K36" s="10"/>
      <c r="L36" s="10"/>
      <c r="M36" s="31"/>
      <c r="N36" s="32"/>
      <c r="O36" s="32"/>
      <c r="P36" s="33" t="str">
        <f t="shared" si="8"/>
        <v/>
      </c>
      <c r="Q36" s="32"/>
      <c r="R36" s="33" t="str">
        <f t="shared" si="9"/>
        <v/>
      </c>
      <c r="S36" s="31" t="str">
        <f t="shared" si="10"/>
        <v/>
      </c>
      <c r="T36" s="33"/>
      <c r="U36" s="10"/>
      <c r="V36" s="10"/>
      <c r="W36" s="10"/>
    </row>
    <row r="37" spans="1:23" x14ac:dyDescent="0.35">
      <c r="A37" s="10" t="str">
        <f t="shared" si="5"/>
        <v/>
      </c>
      <c r="B37" s="8"/>
      <c r="C37" s="10" t="str">
        <f t="shared" si="6"/>
        <v/>
      </c>
      <c r="D37" s="10" t="str">
        <f t="shared" si="7"/>
        <v/>
      </c>
      <c r="E37" s="10" t="str">
        <f>IF(B37="","",IF(B37&lt;Config!$B$4,Config!$B$7,Config!$B$8))</f>
        <v/>
      </c>
      <c r="F37" s="10"/>
      <c r="G37" s="10"/>
      <c r="H37" s="10"/>
      <c r="I37" s="10"/>
      <c r="J37" s="10"/>
      <c r="K37" s="10"/>
      <c r="L37" s="10"/>
      <c r="M37" s="31"/>
      <c r="N37" s="32"/>
      <c r="O37" s="32"/>
      <c r="P37" s="33" t="str">
        <f t="shared" si="8"/>
        <v/>
      </c>
      <c r="Q37" s="32"/>
      <c r="R37" s="33" t="str">
        <f t="shared" si="9"/>
        <v/>
      </c>
      <c r="S37" s="31" t="str">
        <f t="shared" si="10"/>
        <v/>
      </c>
      <c r="T37" s="33"/>
      <c r="U37" s="10"/>
      <c r="V37" s="10"/>
      <c r="W37" s="10"/>
    </row>
    <row r="38" spans="1:23" x14ac:dyDescent="0.35">
      <c r="A38" s="10" t="str">
        <f t="shared" si="5"/>
        <v/>
      </c>
      <c r="B38" s="8"/>
      <c r="C38" s="10" t="str">
        <f t="shared" si="6"/>
        <v/>
      </c>
      <c r="D38" s="10" t="str">
        <f t="shared" si="7"/>
        <v/>
      </c>
      <c r="E38" s="10" t="str">
        <f>IF(B38="","",IF(B38&lt;Config!$B$4,Config!$B$7,Config!$B$8))</f>
        <v/>
      </c>
      <c r="F38" s="10"/>
      <c r="G38" s="10"/>
      <c r="H38" s="10"/>
      <c r="I38" s="10"/>
      <c r="J38" s="10"/>
      <c r="K38" s="10"/>
      <c r="L38" s="10"/>
      <c r="M38" s="31"/>
      <c r="N38" s="32"/>
      <c r="O38" s="32"/>
      <c r="P38" s="33" t="str">
        <f t="shared" si="8"/>
        <v/>
      </c>
      <c r="Q38" s="32"/>
      <c r="R38" s="33" t="str">
        <f t="shared" si="9"/>
        <v/>
      </c>
      <c r="S38" s="31" t="str">
        <f t="shared" si="10"/>
        <v/>
      </c>
      <c r="T38" s="33"/>
      <c r="U38" s="10"/>
      <c r="V38" s="10"/>
      <c r="W38" s="10"/>
    </row>
    <row r="39" spans="1:23" x14ac:dyDescent="0.35">
      <c r="A39" s="10" t="str">
        <f t="shared" si="5"/>
        <v/>
      </c>
      <c r="B39" s="8"/>
      <c r="C39" s="10" t="str">
        <f t="shared" si="6"/>
        <v/>
      </c>
      <c r="D39" s="10" t="str">
        <f t="shared" si="7"/>
        <v/>
      </c>
      <c r="E39" s="10" t="str">
        <f>IF(B39="","",IF(B39&lt;Config!$B$4,Config!$B$7,Config!$B$8))</f>
        <v/>
      </c>
      <c r="F39" s="10"/>
      <c r="G39" s="10"/>
      <c r="H39" s="10"/>
      <c r="I39" s="10"/>
      <c r="J39" s="10"/>
      <c r="K39" s="10"/>
      <c r="L39" s="10"/>
      <c r="M39" s="31"/>
      <c r="N39" s="32"/>
      <c r="O39" s="32"/>
      <c r="P39" s="33" t="str">
        <f t="shared" si="8"/>
        <v/>
      </c>
      <c r="Q39" s="32"/>
      <c r="R39" s="33" t="str">
        <f t="shared" si="9"/>
        <v/>
      </c>
      <c r="S39" s="31" t="str">
        <f t="shared" si="10"/>
        <v/>
      </c>
      <c r="T39" s="33"/>
      <c r="U39" s="10"/>
      <c r="V39" s="10"/>
      <c r="W39" s="10"/>
    </row>
    <row r="40" spans="1:23" x14ac:dyDescent="0.35">
      <c r="A40" s="10" t="str">
        <f t="shared" si="5"/>
        <v/>
      </c>
      <c r="B40" s="8"/>
      <c r="C40" s="10" t="str">
        <f t="shared" si="6"/>
        <v/>
      </c>
      <c r="D40" s="10" t="str">
        <f t="shared" si="7"/>
        <v/>
      </c>
      <c r="E40" s="10" t="str">
        <f>IF(B40="","",IF(B40&lt;Config!$B$4,Config!$B$7,Config!$B$8))</f>
        <v/>
      </c>
      <c r="F40" s="10"/>
      <c r="G40" s="10"/>
      <c r="H40" s="10"/>
      <c r="I40" s="10"/>
      <c r="J40" s="10"/>
      <c r="K40" s="10"/>
      <c r="L40" s="10"/>
      <c r="M40" s="31"/>
      <c r="N40" s="32"/>
      <c r="O40" s="32"/>
      <c r="P40" s="33" t="str">
        <f t="shared" si="8"/>
        <v/>
      </c>
      <c r="Q40" s="32"/>
      <c r="R40" s="33" t="str">
        <f t="shared" si="9"/>
        <v/>
      </c>
      <c r="S40" s="31" t="str">
        <f t="shared" si="10"/>
        <v/>
      </c>
      <c r="T40" s="33"/>
      <c r="U40" s="10"/>
      <c r="V40" s="10"/>
      <c r="W40" s="10"/>
    </row>
    <row r="41" spans="1:23" x14ac:dyDescent="0.35">
      <c r="A41" s="10" t="str">
        <f t="shared" si="5"/>
        <v/>
      </c>
      <c r="B41" s="8"/>
      <c r="C41" s="10" t="str">
        <f t="shared" si="6"/>
        <v/>
      </c>
      <c r="D41" s="10" t="str">
        <f t="shared" si="7"/>
        <v/>
      </c>
      <c r="E41" s="10" t="str">
        <f>IF(B41="","",IF(B41&lt;Config!$B$4,Config!$B$7,Config!$B$8))</f>
        <v/>
      </c>
      <c r="F41" s="10"/>
      <c r="G41" s="10"/>
      <c r="H41" s="10"/>
      <c r="I41" s="10"/>
      <c r="J41" s="10"/>
      <c r="K41" s="10"/>
      <c r="L41" s="10"/>
      <c r="M41" s="31"/>
      <c r="N41" s="32"/>
      <c r="O41" s="32"/>
      <c r="P41" s="33" t="str">
        <f t="shared" si="8"/>
        <v/>
      </c>
      <c r="Q41" s="32"/>
      <c r="R41" s="33" t="str">
        <f t="shared" si="9"/>
        <v/>
      </c>
      <c r="S41" s="31" t="str">
        <f t="shared" si="10"/>
        <v/>
      </c>
      <c r="T41" s="33"/>
      <c r="U41" s="10"/>
      <c r="V41" s="10"/>
      <c r="W41" s="10"/>
    </row>
    <row r="42" spans="1:23" x14ac:dyDescent="0.35">
      <c r="A42" s="10" t="str">
        <f t="shared" si="5"/>
        <v/>
      </c>
      <c r="B42" s="8"/>
      <c r="C42" s="10" t="str">
        <f t="shared" si="6"/>
        <v/>
      </c>
      <c r="D42" s="10" t="str">
        <f t="shared" si="7"/>
        <v/>
      </c>
      <c r="E42" s="10" t="str">
        <f>IF(B42="","",IF(B42&lt;Config!$B$4,Config!$B$7,Config!$B$8))</f>
        <v/>
      </c>
      <c r="F42" s="10"/>
      <c r="G42" s="10"/>
      <c r="H42" s="10"/>
      <c r="I42" s="10"/>
      <c r="J42" s="10"/>
      <c r="K42" s="10"/>
      <c r="L42" s="10"/>
      <c r="M42" s="31"/>
      <c r="N42" s="32"/>
      <c r="O42" s="32"/>
      <c r="P42" s="33" t="str">
        <f t="shared" si="8"/>
        <v/>
      </c>
      <c r="Q42" s="32"/>
      <c r="R42" s="33" t="str">
        <f t="shared" si="9"/>
        <v/>
      </c>
      <c r="S42" s="31" t="str">
        <f t="shared" si="10"/>
        <v/>
      </c>
      <c r="T42" s="33"/>
      <c r="U42" s="10"/>
      <c r="V42" s="10"/>
      <c r="W42" s="10"/>
    </row>
    <row r="43" spans="1:23" x14ac:dyDescent="0.35">
      <c r="A43" s="10" t="str">
        <f t="shared" si="5"/>
        <v/>
      </c>
      <c r="B43" s="8"/>
      <c r="C43" s="10" t="str">
        <f t="shared" si="6"/>
        <v/>
      </c>
      <c r="D43" s="10" t="str">
        <f t="shared" si="7"/>
        <v/>
      </c>
      <c r="E43" s="10" t="str">
        <f>IF(B43="","",IF(B43&lt;Config!$B$4,Config!$B$7,Config!$B$8))</f>
        <v/>
      </c>
      <c r="F43" s="10"/>
      <c r="G43" s="10"/>
      <c r="H43" s="10"/>
      <c r="I43" s="10"/>
      <c r="J43" s="10"/>
      <c r="K43" s="10"/>
      <c r="L43" s="10"/>
      <c r="M43" s="31"/>
      <c r="N43" s="32"/>
      <c r="O43" s="32"/>
      <c r="P43" s="33" t="str">
        <f t="shared" si="8"/>
        <v/>
      </c>
      <c r="Q43" s="32"/>
      <c r="R43" s="33" t="str">
        <f t="shared" si="9"/>
        <v/>
      </c>
      <c r="S43" s="31" t="str">
        <f t="shared" si="10"/>
        <v/>
      </c>
      <c r="T43" s="33"/>
      <c r="U43" s="10"/>
      <c r="V43" s="10"/>
      <c r="W43" s="10"/>
    </row>
    <row r="44" spans="1:23" x14ac:dyDescent="0.35">
      <c r="A44" s="10" t="str">
        <f t="shared" si="5"/>
        <v/>
      </c>
      <c r="B44" s="8"/>
      <c r="C44" s="10" t="str">
        <f t="shared" si="6"/>
        <v/>
      </c>
      <c r="D44" s="10" t="str">
        <f t="shared" si="7"/>
        <v/>
      </c>
      <c r="E44" s="10" t="str">
        <f>IF(B44="","",IF(B44&lt;Config!$B$4,Config!$B$7,Config!$B$8))</f>
        <v/>
      </c>
      <c r="F44" s="10"/>
      <c r="G44" s="10"/>
      <c r="H44" s="10"/>
      <c r="I44" s="10"/>
      <c r="J44" s="10"/>
      <c r="K44" s="10"/>
      <c r="L44" s="10"/>
      <c r="M44" s="31"/>
      <c r="N44" s="32"/>
      <c r="O44" s="32"/>
      <c r="P44" s="33" t="str">
        <f t="shared" si="8"/>
        <v/>
      </c>
      <c r="Q44" s="32"/>
      <c r="R44" s="33" t="str">
        <f t="shared" si="9"/>
        <v/>
      </c>
      <c r="S44" s="31" t="str">
        <f t="shared" si="10"/>
        <v/>
      </c>
      <c r="T44" s="33"/>
      <c r="U44" s="10"/>
      <c r="V44" s="10"/>
      <c r="W44" s="10"/>
    </row>
    <row r="45" spans="1:23" x14ac:dyDescent="0.35">
      <c r="A45" s="10" t="str">
        <f t="shared" ref="A45:A76" si="11">IF(B45="","",ROW()-1)</f>
        <v/>
      </c>
      <c r="B45" s="8"/>
      <c r="C45" s="10" t="str">
        <f t="shared" si="6"/>
        <v/>
      </c>
      <c r="D45" s="10" t="str">
        <f t="shared" si="7"/>
        <v/>
      </c>
      <c r="E45" s="10" t="str">
        <f>IF(B45="","",IF(B45&lt;Config!$B$4,Config!$B$7,Config!$B$8))</f>
        <v/>
      </c>
      <c r="F45" s="10"/>
      <c r="G45" s="10"/>
      <c r="H45" s="10"/>
      <c r="I45" s="10"/>
      <c r="J45" s="10"/>
      <c r="K45" s="10"/>
      <c r="L45" s="10"/>
      <c r="M45" s="31"/>
      <c r="N45" s="32"/>
      <c r="O45" s="32"/>
      <c r="P45" s="33" t="str">
        <f t="shared" si="8"/>
        <v/>
      </c>
      <c r="Q45" s="32"/>
      <c r="R45" s="33" t="str">
        <f t="shared" si="9"/>
        <v/>
      </c>
      <c r="S45" s="31" t="str">
        <f t="shared" si="10"/>
        <v/>
      </c>
      <c r="T45" s="33"/>
      <c r="U45" s="10"/>
      <c r="V45" s="10"/>
      <c r="W45" s="10"/>
    </row>
    <row r="46" spans="1:23" x14ac:dyDescent="0.35">
      <c r="A46" s="10" t="str">
        <f t="shared" si="11"/>
        <v/>
      </c>
      <c r="B46" s="8"/>
      <c r="C46" s="10" t="str">
        <f t="shared" si="6"/>
        <v/>
      </c>
      <c r="D46" s="10" t="str">
        <f t="shared" si="7"/>
        <v/>
      </c>
      <c r="E46" s="10" t="str">
        <f>IF(B46="","",IF(B46&lt;Config!$B$4,Config!$B$7,Config!$B$8))</f>
        <v/>
      </c>
      <c r="F46" s="10"/>
      <c r="G46" s="10"/>
      <c r="H46" s="10"/>
      <c r="I46" s="10"/>
      <c r="J46" s="10"/>
      <c r="K46" s="10"/>
      <c r="L46" s="10"/>
      <c r="M46" s="31"/>
      <c r="N46" s="32"/>
      <c r="O46" s="32"/>
      <c r="P46" s="33" t="str">
        <f t="shared" si="8"/>
        <v/>
      </c>
      <c r="Q46" s="32"/>
      <c r="R46" s="33" t="str">
        <f t="shared" si="9"/>
        <v/>
      </c>
      <c r="S46" s="31" t="str">
        <f t="shared" si="10"/>
        <v/>
      </c>
      <c r="T46" s="33"/>
      <c r="U46" s="10"/>
      <c r="V46" s="10"/>
      <c r="W46" s="10"/>
    </row>
    <row r="47" spans="1:23" x14ac:dyDescent="0.35">
      <c r="A47" s="10" t="str">
        <f t="shared" si="11"/>
        <v/>
      </c>
      <c r="B47" s="8"/>
      <c r="C47" s="10" t="str">
        <f t="shared" si="6"/>
        <v/>
      </c>
      <c r="D47" s="10" t="str">
        <f t="shared" si="7"/>
        <v/>
      </c>
      <c r="E47" s="10" t="str">
        <f>IF(B47="","",IF(B47&lt;Config!$B$4,Config!$B$7,Config!$B$8))</f>
        <v/>
      </c>
      <c r="F47" s="10"/>
      <c r="G47" s="10"/>
      <c r="H47" s="10"/>
      <c r="I47" s="10"/>
      <c r="J47" s="10"/>
      <c r="K47" s="10"/>
      <c r="L47" s="10"/>
      <c r="M47" s="31"/>
      <c r="N47" s="32"/>
      <c r="O47" s="32"/>
      <c r="P47" s="33" t="str">
        <f t="shared" si="8"/>
        <v/>
      </c>
      <c r="Q47" s="32"/>
      <c r="R47" s="33" t="str">
        <f t="shared" si="9"/>
        <v/>
      </c>
      <c r="S47" s="31" t="str">
        <f t="shared" si="10"/>
        <v/>
      </c>
      <c r="T47" s="33"/>
      <c r="U47" s="10"/>
      <c r="V47" s="10"/>
      <c r="W47" s="10"/>
    </row>
    <row r="48" spans="1:23" x14ac:dyDescent="0.35">
      <c r="A48" s="10" t="str">
        <f t="shared" si="11"/>
        <v/>
      </c>
      <c r="B48" s="8"/>
      <c r="C48" s="10" t="str">
        <f t="shared" si="6"/>
        <v/>
      </c>
      <c r="D48" s="10" t="str">
        <f t="shared" si="7"/>
        <v/>
      </c>
      <c r="E48" s="10" t="str">
        <f>IF(B48="","",IF(B48&lt;Config!$B$4,Config!$B$7,Config!$B$8))</f>
        <v/>
      </c>
      <c r="F48" s="10"/>
      <c r="G48" s="10"/>
      <c r="H48" s="10"/>
      <c r="I48" s="10"/>
      <c r="J48" s="10"/>
      <c r="K48" s="10"/>
      <c r="L48" s="10"/>
      <c r="M48" s="31"/>
      <c r="N48" s="32"/>
      <c r="O48" s="32"/>
      <c r="P48" s="33" t="str">
        <f t="shared" si="8"/>
        <v/>
      </c>
      <c r="Q48" s="32"/>
      <c r="R48" s="33" t="str">
        <f t="shared" si="9"/>
        <v/>
      </c>
      <c r="S48" s="31" t="str">
        <f t="shared" si="10"/>
        <v/>
      </c>
      <c r="T48" s="33"/>
      <c r="U48" s="10"/>
      <c r="V48" s="10"/>
      <c r="W48" s="10"/>
    </row>
    <row r="49" spans="1:23" x14ac:dyDescent="0.35">
      <c r="A49" s="10" t="str">
        <f t="shared" si="11"/>
        <v/>
      </c>
      <c r="B49" s="8"/>
      <c r="C49" s="10" t="str">
        <f t="shared" si="6"/>
        <v/>
      </c>
      <c r="D49" s="10" t="str">
        <f t="shared" si="7"/>
        <v/>
      </c>
      <c r="E49" s="10" t="str">
        <f>IF(B49="","",IF(B49&lt;Config!$B$4,Config!$B$7,Config!$B$8))</f>
        <v/>
      </c>
      <c r="F49" s="10"/>
      <c r="G49" s="10"/>
      <c r="H49" s="10"/>
      <c r="I49" s="10"/>
      <c r="J49" s="10"/>
      <c r="K49" s="10"/>
      <c r="L49" s="10"/>
      <c r="M49" s="31"/>
      <c r="N49" s="32"/>
      <c r="O49" s="32"/>
      <c r="P49" s="33" t="str">
        <f t="shared" si="8"/>
        <v/>
      </c>
      <c r="Q49" s="32"/>
      <c r="R49" s="33" t="str">
        <f t="shared" si="9"/>
        <v/>
      </c>
      <c r="S49" s="31" t="str">
        <f t="shared" si="10"/>
        <v/>
      </c>
      <c r="T49" s="33"/>
      <c r="U49" s="10"/>
      <c r="V49" s="10"/>
      <c r="W49" s="10"/>
    </row>
    <row r="50" spans="1:23" x14ac:dyDescent="0.35">
      <c r="A50" s="10" t="str">
        <f t="shared" si="11"/>
        <v/>
      </c>
      <c r="B50" s="8"/>
      <c r="C50" s="10" t="str">
        <f t="shared" si="6"/>
        <v/>
      </c>
      <c r="D50" s="10" t="str">
        <f t="shared" si="7"/>
        <v/>
      </c>
      <c r="E50" s="10" t="str">
        <f>IF(B50="","",IF(B50&lt;Config!$B$4,Config!$B$7,Config!$B$8))</f>
        <v/>
      </c>
      <c r="F50" s="10"/>
      <c r="G50" s="10"/>
      <c r="H50" s="10"/>
      <c r="I50" s="10"/>
      <c r="J50" s="10"/>
      <c r="K50" s="10"/>
      <c r="L50" s="10"/>
      <c r="M50" s="31"/>
      <c r="N50" s="32"/>
      <c r="O50" s="32"/>
      <c r="P50" s="33" t="str">
        <f t="shared" si="8"/>
        <v/>
      </c>
      <c r="Q50" s="32"/>
      <c r="R50" s="33" t="str">
        <f t="shared" si="9"/>
        <v/>
      </c>
      <c r="S50" s="31" t="str">
        <f t="shared" si="10"/>
        <v/>
      </c>
      <c r="T50" s="33"/>
      <c r="U50" s="10"/>
      <c r="V50" s="10"/>
      <c r="W50" s="10"/>
    </row>
    <row r="51" spans="1:23" x14ac:dyDescent="0.35">
      <c r="A51" s="10" t="str">
        <f t="shared" si="11"/>
        <v/>
      </c>
      <c r="B51" s="8"/>
      <c r="C51" s="10" t="str">
        <f t="shared" si="6"/>
        <v/>
      </c>
      <c r="D51" s="10" t="str">
        <f t="shared" si="7"/>
        <v/>
      </c>
      <c r="E51" s="10" t="str">
        <f>IF(B51="","",IF(B51&lt;Config!$B$4,Config!$B$7,Config!$B$8))</f>
        <v/>
      </c>
      <c r="F51" s="10"/>
      <c r="G51" s="10"/>
      <c r="H51" s="10"/>
      <c r="I51" s="10"/>
      <c r="J51" s="10"/>
      <c r="K51" s="10"/>
      <c r="L51" s="10"/>
      <c r="M51" s="31"/>
      <c r="N51" s="32"/>
      <c r="O51" s="32"/>
      <c r="P51" s="33" t="str">
        <f t="shared" si="8"/>
        <v/>
      </c>
      <c r="Q51" s="32"/>
      <c r="R51" s="33" t="str">
        <f t="shared" si="9"/>
        <v/>
      </c>
      <c r="S51" s="31" t="str">
        <f t="shared" si="10"/>
        <v/>
      </c>
      <c r="T51" s="33"/>
      <c r="U51" s="10"/>
      <c r="V51" s="10"/>
      <c r="W51" s="10"/>
    </row>
    <row r="52" spans="1:23" x14ac:dyDescent="0.35">
      <c r="A52" s="10" t="str">
        <f t="shared" si="11"/>
        <v/>
      </c>
      <c r="B52" s="8"/>
      <c r="C52" s="10" t="str">
        <f t="shared" si="6"/>
        <v/>
      </c>
      <c r="D52" s="10" t="str">
        <f t="shared" si="7"/>
        <v/>
      </c>
      <c r="E52" s="10" t="str">
        <f>IF(B52="","",IF(B52&lt;Config!$B$4,Config!$B$7,Config!$B$8))</f>
        <v/>
      </c>
      <c r="F52" s="10"/>
      <c r="G52" s="10"/>
      <c r="H52" s="10"/>
      <c r="I52" s="10"/>
      <c r="J52" s="10"/>
      <c r="K52" s="10"/>
      <c r="L52" s="10"/>
      <c r="M52" s="31"/>
      <c r="N52" s="32"/>
      <c r="O52" s="32"/>
      <c r="P52" s="33" t="str">
        <f t="shared" si="8"/>
        <v/>
      </c>
      <c r="Q52" s="32"/>
      <c r="R52" s="33" t="str">
        <f t="shared" si="9"/>
        <v/>
      </c>
      <c r="S52" s="31" t="str">
        <f t="shared" si="10"/>
        <v/>
      </c>
      <c r="T52" s="33"/>
      <c r="U52" s="10"/>
      <c r="V52" s="10"/>
      <c r="W52" s="10"/>
    </row>
    <row r="53" spans="1:23" x14ac:dyDescent="0.35">
      <c r="A53" s="10" t="str">
        <f t="shared" si="11"/>
        <v/>
      </c>
      <c r="B53" s="8"/>
      <c r="C53" s="10" t="str">
        <f t="shared" si="6"/>
        <v/>
      </c>
      <c r="D53" s="10" t="str">
        <f t="shared" si="7"/>
        <v/>
      </c>
      <c r="E53" s="10" t="str">
        <f>IF(B53="","",IF(B53&lt;Config!$B$4,Config!$B$7,Config!$B$8))</f>
        <v/>
      </c>
      <c r="F53" s="10"/>
      <c r="G53" s="10"/>
      <c r="H53" s="10"/>
      <c r="I53" s="10"/>
      <c r="J53" s="10"/>
      <c r="K53" s="10"/>
      <c r="L53" s="10"/>
      <c r="M53" s="31"/>
      <c r="N53" s="32"/>
      <c r="O53" s="32"/>
      <c r="P53" s="33" t="str">
        <f t="shared" si="8"/>
        <v/>
      </c>
      <c r="Q53" s="32"/>
      <c r="R53" s="33" t="str">
        <f t="shared" si="9"/>
        <v/>
      </c>
      <c r="S53" s="31" t="str">
        <f t="shared" si="10"/>
        <v/>
      </c>
      <c r="T53" s="33"/>
      <c r="U53" s="10"/>
      <c r="V53" s="10"/>
      <c r="W53" s="10"/>
    </row>
    <row r="54" spans="1:23" x14ac:dyDescent="0.35">
      <c r="A54" s="10" t="str">
        <f t="shared" si="11"/>
        <v/>
      </c>
      <c r="B54" s="8"/>
      <c r="C54" s="10" t="str">
        <f t="shared" si="6"/>
        <v/>
      </c>
      <c r="D54" s="10" t="str">
        <f t="shared" si="7"/>
        <v/>
      </c>
      <c r="E54" s="10" t="str">
        <f>IF(B54="","",IF(B54&lt;Config!$B$4,Config!$B$7,Config!$B$8))</f>
        <v/>
      </c>
      <c r="F54" s="10"/>
      <c r="G54" s="10"/>
      <c r="H54" s="10"/>
      <c r="I54" s="10"/>
      <c r="J54" s="10"/>
      <c r="K54" s="10"/>
      <c r="L54" s="10"/>
      <c r="M54" s="31"/>
      <c r="N54" s="32"/>
      <c r="O54" s="32"/>
      <c r="P54" s="33" t="str">
        <f t="shared" si="8"/>
        <v/>
      </c>
      <c r="Q54" s="32"/>
      <c r="R54" s="33" t="str">
        <f t="shared" si="9"/>
        <v/>
      </c>
      <c r="S54" s="31" t="str">
        <f t="shared" si="10"/>
        <v/>
      </c>
      <c r="T54" s="33"/>
      <c r="U54" s="10"/>
      <c r="V54" s="10"/>
      <c r="W54" s="10"/>
    </row>
    <row r="55" spans="1:23" x14ac:dyDescent="0.35">
      <c r="A55" s="10" t="str">
        <f t="shared" si="11"/>
        <v/>
      </c>
      <c r="B55" s="8"/>
      <c r="C55" s="10" t="str">
        <f t="shared" si="6"/>
        <v/>
      </c>
      <c r="D55" s="10" t="str">
        <f t="shared" si="7"/>
        <v/>
      </c>
      <c r="E55" s="10" t="str">
        <f>IF(B55="","",IF(B55&lt;Config!$B$4,Config!$B$7,Config!$B$8))</f>
        <v/>
      </c>
      <c r="F55" s="10"/>
      <c r="G55" s="10"/>
      <c r="H55" s="10"/>
      <c r="I55" s="10"/>
      <c r="J55" s="10"/>
      <c r="K55" s="10"/>
      <c r="L55" s="10"/>
      <c r="M55" s="31"/>
      <c r="N55" s="32"/>
      <c r="O55" s="32"/>
      <c r="P55" s="33" t="str">
        <f t="shared" si="8"/>
        <v/>
      </c>
      <c r="Q55" s="32"/>
      <c r="R55" s="33" t="str">
        <f t="shared" si="9"/>
        <v/>
      </c>
      <c r="S55" s="31" t="str">
        <f t="shared" si="10"/>
        <v/>
      </c>
      <c r="T55" s="33"/>
      <c r="U55" s="10"/>
      <c r="V55" s="10"/>
      <c r="W55" s="10"/>
    </row>
    <row r="56" spans="1:23" x14ac:dyDescent="0.35">
      <c r="A56" s="10" t="str">
        <f t="shared" si="11"/>
        <v/>
      </c>
      <c r="B56" s="8"/>
      <c r="C56" s="10" t="str">
        <f t="shared" si="6"/>
        <v/>
      </c>
      <c r="D56" s="10" t="str">
        <f t="shared" si="7"/>
        <v/>
      </c>
      <c r="E56" s="10" t="str">
        <f>IF(B56="","",IF(B56&lt;Config!$B$4,Config!$B$7,Config!$B$8))</f>
        <v/>
      </c>
      <c r="F56" s="10"/>
      <c r="G56" s="10"/>
      <c r="H56" s="10"/>
      <c r="I56" s="10"/>
      <c r="J56" s="10"/>
      <c r="K56" s="10"/>
      <c r="L56" s="10"/>
      <c r="M56" s="31"/>
      <c r="N56" s="32"/>
      <c r="O56" s="32"/>
      <c r="P56" s="33" t="str">
        <f t="shared" si="8"/>
        <v/>
      </c>
      <c r="Q56" s="32"/>
      <c r="R56" s="33" t="str">
        <f t="shared" si="9"/>
        <v/>
      </c>
      <c r="S56" s="31" t="str">
        <f t="shared" si="10"/>
        <v/>
      </c>
      <c r="T56" s="33"/>
      <c r="U56" s="10"/>
      <c r="V56" s="10"/>
      <c r="W56" s="10"/>
    </row>
    <row r="57" spans="1:23" x14ac:dyDescent="0.35">
      <c r="A57" s="10" t="str">
        <f t="shared" si="11"/>
        <v/>
      </c>
      <c r="B57" s="8"/>
      <c r="C57" s="10" t="str">
        <f t="shared" si="6"/>
        <v/>
      </c>
      <c r="D57" s="10" t="str">
        <f t="shared" si="7"/>
        <v/>
      </c>
      <c r="E57" s="10" t="str">
        <f>IF(B57="","",IF(B57&lt;Config!$B$4,Config!$B$7,Config!$B$8))</f>
        <v/>
      </c>
      <c r="F57" s="10"/>
      <c r="G57" s="10"/>
      <c r="H57" s="10"/>
      <c r="I57" s="10"/>
      <c r="J57" s="10"/>
      <c r="K57" s="10"/>
      <c r="L57" s="10"/>
      <c r="M57" s="31"/>
      <c r="N57" s="32"/>
      <c r="O57" s="32"/>
      <c r="P57" s="33" t="str">
        <f t="shared" si="8"/>
        <v/>
      </c>
      <c r="Q57" s="32"/>
      <c r="R57" s="33" t="str">
        <f t="shared" si="9"/>
        <v/>
      </c>
      <c r="S57" s="31" t="str">
        <f t="shared" si="10"/>
        <v/>
      </c>
      <c r="T57" s="33"/>
      <c r="U57" s="10"/>
      <c r="V57" s="10"/>
      <c r="W57" s="10"/>
    </row>
    <row r="58" spans="1:23" x14ac:dyDescent="0.35">
      <c r="A58" s="10" t="str">
        <f t="shared" si="11"/>
        <v/>
      </c>
      <c r="B58" s="8"/>
      <c r="C58" s="10" t="str">
        <f t="shared" si="6"/>
        <v/>
      </c>
      <c r="D58" s="10" t="str">
        <f t="shared" si="7"/>
        <v/>
      </c>
      <c r="E58" s="10" t="str">
        <f>IF(B58="","",IF(B58&lt;Config!$B$4,Config!$B$7,Config!$B$8))</f>
        <v/>
      </c>
      <c r="F58" s="10"/>
      <c r="G58" s="10"/>
      <c r="H58" s="10"/>
      <c r="I58" s="10"/>
      <c r="J58" s="10"/>
      <c r="K58" s="10"/>
      <c r="L58" s="10"/>
      <c r="M58" s="31"/>
      <c r="N58" s="32"/>
      <c r="O58" s="32"/>
      <c r="P58" s="33" t="str">
        <f t="shared" si="8"/>
        <v/>
      </c>
      <c r="Q58" s="32"/>
      <c r="R58" s="33" t="str">
        <f t="shared" si="9"/>
        <v/>
      </c>
      <c r="S58" s="31" t="str">
        <f t="shared" si="10"/>
        <v/>
      </c>
      <c r="T58" s="33"/>
      <c r="U58" s="10"/>
      <c r="V58" s="10"/>
      <c r="W58" s="10"/>
    </row>
    <row r="59" spans="1:23" x14ac:dyDescent="0.35">
      <c r="A59" s="10" t="str">
        <f t="shared" si="11"/>
        <v/>
      </c>
      <c r="B59" s="8"/>
      <c r="C59" s="10" t="str">
        <f t="shared" si="6"/>
        <v/>
      </c>
      <c r="D59" s="10" t="str">
        <f t="shared" si="7"/>
        <v/>
      </c>
      <c r="E59" s="10" t="str">
        <f>IF(B59="","",IF(B59&lt;Config!$B$4,Config!$B$7,Config!$B$8))</f>
        <v/>
      </c>
      <c r="F59" s="10"/>
      <c r="G59" s="10"/>
      <c r="H59" s="10"/>
      <c r="I59" s="10"/>
      <c r="J59" s="10"/>
      <c r="K59" s="10"/>
      <c r="L59" s="10"/>
      <c r="M59" s="31"/>
      <c r="N59" s="32"/>
      <c r="O59" s="32"/>
      <c r="P59" s="33" t="str">
        <f t="shared" si="8"/>
        <v/>
      </c>
      <c r="Q59" s="32"/>
      <c r="R59" s="33" t="str">
        <f t="shared" si="9"/>
        <v/>
      </c>
      <c r="S59" s="31" t="str">
        <f t="shared" si="10"/>
        <v/>
      </c>
      <c r="T59" s="33"/>
      <c r="U59" s="10"/>
      <c r="V59" s="10"/>
      <c r="W59" s="10"/>
    </row>
    <row r="60" spans="1:23" x14ac:dyDescent="0.35">
      <c r="A60" s="10" t="str">
        <f t="shared" si="11"/>
        <v/>
      </c>
      <c r="B60" s="8"/>
      <c r="C60" s="10" t="str">
        <f t="shared" si="6"/>
        <v/>
      </c>
      <c r="D60" s="10" t="str">
        <f t="shared" si="7"/>
        <v/>
      </c>
      <c r="E60" s="10" t="str">
        <f>IF(B60="","",IF(B60&lt;Config!$B$4,Config!$B$7,Config!$B$8))</f>
        <v/>
      </c>
      <c r="F60" s="10"/>
      <c r="G60" s="10"/>
      <c r="H60" s="10"/>
      <c r="I60" s="10"/>
      <c r="J60" s="10"/>
      <c r="K60" s="10"/>
      <c r="L60" s="10"/>
      <c r="M60" s="31"/>
      <c r="N60" s="32"/>
      <c r="O60" s="32"/>
      <c r="P60" s="33" t="str">
        <f t="shared" si="8"/>
        <v/>
      </c>
      <c r="Q60" s="32"/>
      <c r="R60" s="33" t="str">
        <f t="shared" si="9"/>
        <v/>
      </c>
      <c r="S60" s="31" t="str">
        <f t="shared" si="10"/>
        <v/>
      </c>
      <c r="T60" s="33"/>
      <c r="U60" s="10"/>
      <c r="V60" s="10"/>
      <c r="W60" s="10"/>
    </row>
    <row r="61" spans="1:23" x14ac:dyDescent="0.35">
      <c r="A61" s="10" t="str">
        <f t="shared" si="11"/>
        <v/>
      </c>
      <c r="B61" s="8"/>
      <c r="C61" s="10" t="str">
        <f t="shared" si="6"/>
        <v/>
      </c>
      <c r="D61" s="10" t="str">
        <f t="shared" si="7"/>
        <v/>
      </c>
      <c r="E61" s="10" t="str">
        <f>IF(B61="","",IF(B61&lt;Config!$B$4,Config!$B$7,Config!$B$8))</f>
        <v/>
      </c>
      <c r="F61" s="10"/>
      <c r="G61" s="10"/>
      <c r="H61" s="10"/>
      <c r="I61" s="10"/>
      <c r="J61" s="10"/>
      <c r="K61" s="10"/>
      <c r="L61" s="10"/>
      <c r="M61" s="31"/>
      <c r="N61" s="32"/>
      <c r="O61" s="32"/>
      <c r="P61" s="33" t="str">
        <f t="shared" si="8"/>
        <v/>
      </c>
      <c r="Q61" s="32"/>
      <c r="R61" s="33" t="str">
        <f t="shared" si="9"/>
        <v/>
      </c>
      <c r="S61" s="31" t="str">
        <f t="shared" si="10"/>
        <v/>
      </c>
      <c r="T61" s="33"/>
      <c r="U61" s="10"/>
      <c r="V61" s="10"/>
      <c r="W61" s="10"/>
    </row>
    <row r="62" spans="1:23" x14ac:dyDescent="0.35">
      <c r="A62" s="10" t="str">
        <f t="shared" si="11"/>
        <v/>
      </c>
      <c r="B62" s="8"/>
      <c r="C62" s="10" t="str">
        <f t="shared" si="6"/>
        <v/>
      </c>
      <c r="D62" s="10" t="str">
        <f t="shared" si="7"/>
        <v/>
      </c>
      <c r="E62" s="10" t="str">
        <f>IF(B62="","",IF(B62&lt;Config!$B$4,Config!$B$7,Config!$B$8))</f>
        <v/>
      </c>
      <c r="F62" s="10"/>
      <c r="G62" s="10"/>
      <c r="H62" s="10"/>
      <c r="I62" s="10"/>
      <c r="J62" s="10"/>
      <c r="K62" s="10"/>
      <c r="L62" s="10"/>
      <c r="M62" s="31"/>
      <c r="N62" s="32"/>
      <c r="O62" s="32"/>
      <c r="P62" s="33" t="str">
        <f t="shared" si="8"/>
        <v/>
      </c>
      <c r="Q62" s="32"/>
      <c r="R62" s="33" t="str">
        <f t="shared" si="9"/>
        <v/>
      </c>
      <c r="S62" s="31" t="str">
        <f t="shared" si="10"/>
        <v/>
      </c>
      <c r="T62" s="33"/>
      <c r="U62" s="10"/>
      <c r="V62" s="10"/>
      <c r="W62" s="10"/>
    </row>
    <row r="63" spans="1:23" x14ac:dyDescent="0.35">
      <c r="A63" s="10" t="str">
        <f t="shared" si="11"/>
        <v/>
      </c>
      <c r="B63" s="8"/>
      <c r="C63" s="10" t="str">
        <f t="shared" si="6"/>
        <v/>
      </c>
      <c r="D63" s="10" t="str">
        <f t="shared" si="7"/>
        <v/>
      </c>
      <c r="E63" s="10" t="str">
        <f>IF(B63="","",IF(B63&lt;Config!$B$4,Config!$B$7,Config!$B$8))</f>
        <v/>
      </c>
      <c r="F63" s="10"/>
      <c r="G63" s="10"/>
      <c r="H63" s="10"/>
      <c r="I63" s="10"/>
      <c r="J63" s="10"/>
      <c r="K63" s="10"/>
      <c r="L63" s="10"/>
      <c r="M63" s="31"/>
      <c r="N63" s="32"/>
      <c r="O63" s="32"/>
      <c r="P63" s="33" t="str">
        <f t="shared" si="8"/>
        <v/>
      </c>
      <c r="Q63" s="32"/>
      <c r="R63" s="33" t="str">
        <f t="shared" si="9"/>
        <v/>
      </c>
      <c r="S63" s="31" t="str">
        <f t="shared" si="10"/>
        <v/>
      </c>
      <c r="T63" s="33"/>
      <c r="U63" s="10"/>
      <c r="V63" s="10"/>
      <c r="W63" s="10"/>
    </row>
    <row r="64" spans="1:23" x14ac:dyDescent="0.35">
      <c r="A64" s="10" t="str">
        <f t="shared" si="11"/>
        <v/>
      </c>
      <c r="B64" s="8"/>
      <c r="C64" s="10" t="str">
        <f t="shared" si="6"/>
        <v/>
      </c>
      <c r="D64" s="10" t="str">
        <f t="shared" si="7"/>
        <v/>
      </c>
      <c r="E64" s="10" t="str">
        <f>IF(B64="","",IF(B64&lt;Config!$B$4,Config!$B$7,Config!$B$8))</f>
        <v/>
      </c>
      <c r="F64" s="10"/>
      <c r="G64" s="10"/>
      <c r="H64" s="10"/>
      <c r="I64" s="10"/>
      <c r="J64" s="10"/>
      <c r="K64" s="10"/>
      <c r="L64" s="10"/>
      <c r="M64" s="31"/>
      <c r="N64" s="32"/>
      <c r="O64" s="32"/>
      <c r="P64" s="33" t="str">
        <f t="shared" si="8"/>
        <v/>
      </c>
      <c r="Q64" s="32"/>
      <c r="R64" s="33" t="str">
        <f t="shared" si="9"/>
        <v/>
      </c>
      <c r="S64" s="31" t="str">
        <f t="shared" si="10"/>
        <v/>
      </c>
      <c r="T64" s="33"/>
      <c r="U64" s="10"/>
      <c r="V64" s="10"/>
      <c r="W64" s="10"/>
    </row>
    <row r="65" spans="1:23" x14ac:dyDescent="0.35">
      <c r="A65" s="10" t="str">
        <f t="shared" si="11"/>
        <v/>
      </c>
      <c r="B65" s="8"/>
      <c r="C65" s="10" t="str">
        <f t="shared" si="6"/>
        <v/>
      </c>
      <c r="D65" s="10" t="str">
        <f t="shared" si="7"/>
        <v/>
      </c>
      <c r="E65" s="10" t="str">
        <f>IF(B65="","",IF(B65&lt;Config!$B$4,Config!$B$7,Config!$B$8))</f>
        <v/>
      </c>
      <c r="F65" s="10"/>
      <c r="G65" s="10"/>
      <c r="H65" s="10"/>
      <c r="I65" s="10"/>
      <c r="J65" s="10"/>
      <c r="K65" s="10"/>
      <c r="L65" s="10"/>
      <c r="M65" s="31"/>
      <c r="N65" s="32"/>
      <c r="O65" s="32"/>
      <c r="P65" s="33" t="str">
        <f t="shared" si="8"/>
        <v/>
      </c>
      <c r="Q65" s="32"/>
      <c r="R65" s="33" t="str">
        <f t="shared" si="9"/>
        <v/>
      </c>
      <c r="S65" s="31" t="str">
        <f t="shared" si="10"/>
        <v/>
      </c>
      <c r="T65" s="33"/>
      <c r="U65" s="10"/>
      <c r="V65" s="10"/>
      <c r="W65" s="10"/>
    </row>
    <row r="66" spans="1:23" x14ac:dyDescent="0.35">
      <c r="A66" s="10" t="str">
        <f t="shared" si="11"/>
        <v/>
      </c>
      <c r="B66" s="8"/>
      <c r="C66" s="10" t="str">
        <f t="shared" ref="C66:C97" si="12">IF(B66="","",TEXT(B66,"YYYY-MM"))</f>
        <v/>
      </c>
      <c r="D66" s="10" t="str">
        <f t="shared" ref="D66:D97" si="13">IF(B66="","",TEXT(B66,"MMM YYYY"))</f>
        <v/>
      </c>
      <c r="E66" s="10" t="str">
        <f>IF(B66="","",IF(B66&lt;Config!$B$4,Config!$B$7,Config!$B$8))</f>
        <v/>
      </c>
      <c r="F66" s="10"/>
      <c r="G66" s="10"/>
      <c r="H66" s="10"/>
      <c r="I66" s="10"/>
      <c r="J66" s="10"/>
      <c r="K66" s="10"/>
      <c r="L66" s="10"/>
      <c r="M66" s="31"/>
      <c r="N66" s="32"/>
      <c r="O66" s="32"/>
      <c r="P66" s="33" t="str">
        <f t="shared" ref="P66:P97" si="14">IF(OR(N66="",O66=""),"",IF(N66=0,"",O66/N66*100))</f>
        <v/>
      </c>
      <c r="Q66" s="32"/>
      <c r="R66" s="33" t="str">
        <f t="shared" ref="R66:R97" si="15">IF(OR(O66="",Q66=""),"",IF(O66=0,"",Q66/O66*100))</f>
        <v/>
      </c>
      <c r="S66" s="31" t="str">
        <f t="shared" ref="S66:S97" si="16">IF(OR(M66="",Q66=""),"",IF(Q66=0,"",M66/Q66))</f>
        <v/>
      </c>
      <c r="T66" s="33"/>
      <c r="U66" s="10"/>
      <c r="V66" s="10"/>
      <c r="W66" s="10"/>
    </row>
    <row r="67" spans="1:23" x14ac:dyDescent="0.35">
      <c r="A67" s="10" t="str">
        <f t="shared" si="11"/>
        <v/>
      </c>
      <c r="B67" s="8"/>
      <c r="C67" s="10" t="str">
        <f t="shared" si="12"/>
        <v/>
      </c>
      <c r="D67" s="10" t="str">
        <f t="shared" si="13"/>
        <v/>
      </c>
      <c r="E67" s="10" t="str">
        <f>IF(B67="","",IF(B67&lt;Config!$B$4,Config!$B$7,Config!$B$8))</f>
        <v/>
      </c>
      <c r="F67" s="10"/>
      <c r="G67" s="10"/>
      <c r="H67" s="10"/>
      <c r="I67" s="10"/>
      <c r="J67" s="10"/>
      <c r="K67" s="10"/>
      <c r="L67" s="10"/>
      <c r="M67" s="31"/>
      <c r="N67" s="32"/>
      <c r="O67" s="32"/>
      <c r="P67" s="33" t="str">
        <f t="shared" si="14"/>
        <v/>
      </c>
      <c r="Q67" s="32"/>
      <c r="R67" s="33" t="str">
        <f t="shared" si="15"/>
        <v/>
      </c>
      <c r="S67" s="31" t="str">
        <f t="shared" si="16"/>
        <v/>
      </c>
      <c r="T67" s="33"/>
      <c r="U67" s="10"/>
      <c r="V67" s="10"/>
      <c r="W67" s="10"/>
    </row>
    <row r="68" spans="1:23" x14ac:dyDescent="0.35">
      <c r="A68" s="10" t="str">
        <f t="shared" si="11"/>
        <v/>
      </c>
      <c r="B68" s="8"/>
      <c r="C68" s="10" t="str">
        <f t="shared" si="12"/>
        <v/>
      </c>
      <c r="D68" s="10" t="str">
        <f t="shared" si="13"/>
        <v/>
      </c>
      <c r="E68" s="10" t="str">
        <f>IF(B68="","",IF(B68&lt;Config!$B$4,Config!$B$7,Config!$B$8))</f>
        <v/>
      </c>
      <c r="F68" s="10"/>
      <c r="G68" s="10"/>
      <c r="H68" s="10"/>
      <c r="I68" s="10"/>
      <c r="J68" s="10"/>
      <c r="K68" s="10"/>
      <c r="L68" s="10"/>
      <c r="M68" s="31"/>
      <c r="N68" s="32"/>
      <c r="O68" s="32"/>
      <c r="P68" s="33" t="str">
        <f t="shared" si="14"/>
        <v/>
      </c>
      <c r="Q68" s="32"/>
      <c r="R68" s="33" t="str">
        <f t="shared" si="15"/>
        <v/>
      </c>
      <c r="S68" s="31" t="str">
        <f t="shared" si="16"/>
        <v/>
      </c>
      <c r="T68" s="33"/>
      <c r="U68" s="10"/>
      <c r="V68" s="10"/>
      <c r="W68" s="10"/>
    </row>
    <row r="69" spans="1:23" x14ac:dyDescent="0.35">
      <c r="A69" s="10" t="str">
        <f t="shared" si="11"/>
        <v/>
      </c>
      <c r="B69" s="8"/>
      <c r="C69" s="10" t="str">
        <f t="shared" si="12"/>
        <v/>
      </c>
      <c r="D69" s="10" t="str">
        <f t="shared" si="13"/>
        <v/>
      </c>
      <c r="E69" s="10" t="str">
        <f>IF(B69="","",IF(B69&lt;Config!$B$4,Config!$B$7,Config!$B$8))</f>
        <v/>
      </c>
      <c r="F69" s="10"/>
      <c r="G69" s="10"/>
      <c r="H69" s="10"/>
      <c r="I69" s="10"/>
      <c r="J69" s="10"/>
      <c r="K69" s="10"/>
      <c r="L69" s="10"/>
      <c r="M69" s="31"/>
      <c r="N69" s="32"/>
      <c r="O69" s="32"/>
      <c r="P69" s="33" t="str">
        <f t="shared" si="14"/>
        <v/>
      </c>
      <c r="Q69" s="32"/>
      <c r="R69" s="33" t="str">
        <f t="shared" si="15"/>
        <v/>
      </c>
      <c r="S69" s="31" t="str">
        <f t="shared" si="16"/>
        <v/>
      </c>
      <c r="T69" s="33"/>
      <c r="U69" s="10"/>
      <c r="V69" s="10"/>
      <c r="W69" s="10"/>
    </row>
    <row r="70" spans="1:23" x14ac:dyDescent="0.35">
      <c r="A70" s="10" t="str">
        <f t="shared" si="11"/>
        <v/>
      </c>
      <c r="B70" s="8"/>
      <c r="C70" s="10" t="str">
        <f t="shared" si="12"/>
        <v/>
      </c>
      <c r="D70" s="10" t="str">
        <f t="shared" si="13"/>
        <v/>
      </c>
      <c r="E70" s="10" t="str">
        <f>IF(B70="","",IF(B70&lt;Config!$B$4,Config!$B$7,Config!$B$8))</f>
        <v/>
      </c>
      <c r="F70" s="10"/>
      <c r="G70" s="10"/>
      <c r="H70" s="10"/>
      <c r="I70" s="10"/>
      <c r="J70" s="10"/>
      <c r="K70" s="10"/>
      <c r="L70" s="10"/>
      <c r="M70" s="31"/>
      <c r="N70" s="32"/>
      <c r="O70" s="32"/>
      <c r="P70" s="33" t="str">
        <f t="shared" si="14"/>
        <v/>
      </c>
      <c r="Q70" s="32"/>
      <c r="R70" s="33" t="str">
        <f t="shared" si="15"/>
        <v/>
      </c>
      <c r="S70" s="31" t="str">
        <f t="shared" si="16"/>
        <v/>
      </c>
      <c r="T70" s="33"/>
      <c r="U70" s="10"/>
      <c r="V70" s="10"/>
      <c r="W70" s="10"/>
    </row>
    <row r="71" spans="1:23" x14ac:dyDescent="0.35">
      <c r="A71" s="10" t="str">
        <f t="shared" si="11"/>
        <v/>
      </c>
      <c r="B71" s="8"/>
      <c r="C71" s="10" t="str">
        <f t="shared" si="12"/>
        <v/>
      </c>
      <c r="D71" s="10" t="str">
        <f t="shared" si="13"/>
        <v/>
      </c>
      <c r="E71" s="10" t="str">
        <f>IF(B71="","",IF(B71&lt;Config!$B$4,Config!$B$7,Config!$B$8))</f>
        <v/>
      </c>
      <c r="F71" s="10"/>
      <c r="G71" s="10"/>
      <c r="H71" s="10"/>
      <c r="I71" s="10"/>
      <c r="J71" s="10"/>
      <c r="K71" s="10"/>
      <c r="L71" s="10"/>
      <c r="M71" s="31"/>
      <c r="N71" s="32"/>
      <c r="O71" s="32"/>
      <c r="P71" s="33" t="str">
        <f t="shared" si="14"/>
        <v/>
      </c>
      <c r="Q71" s="32"/>
      <c r="R71" s="33" t="str">
        <f t="shared" si="15"/>
        <v/>
      </c>
      <c r="S71" s="31" t="str">
        <f t="shared" si="16"/>
        <v/>
      </c>
      <c r="T71" s="33"/>
      <c r="U71" s="10"/>
      <c r="V71" s="10"/>
      <c r="W71" s="10"/>
    </row>
    <row r="72" spans="1:23" x14ac:dyDescent="0.35">
      <c r="A72" s="10" t="str">
        <f t="shared" si="11"/>
        <v/>
      </c>
      <c r="B72" s="8"/>
      <c r="C72" s="10" t="str">
        <f t="shared" si="12"/>
        <v/>
      </c>
      <c r="D72" s="10" t="str">
        <f t="shared" si="13"/>
        <v/>
      </c>
      <c r="E72" s="10" t="str">
        <f>IF(B72="","",IF(B72&lt;Config!$B$4,Config!$B$7,Config!$B$8))</f>
        <v/>
      </c>
      <c r="F72" s="10"/>
      <c r="G72" s="10"/>
      <c r="H72" s="10"/>
      <c r="I72" s="10"/>
      <c r="J72" s="10"/>
      <c r="K72" s="10"/>
      <c r="L72" s="10"/>
      <c r="M72" s="31"/>
      <c r="N72" s="32"/>
      <c r="O72" s="32"/>
      <c r="P72" s="33" t="str">
        <f t="shared" si="14"/>
        <v/>
      </c>
      <c r="Q72" s="32"/>
      <c r="R72" s="33" t="str">
        <f t="shared" si="15"/>
        <v/>
      </c>
      <c r="S72" s="31" t="str">
        <f t="shared" si="16"/>
        <v/>
      </c>
      <c r="T72" s="33"/>
      <c r="U72" s="10"/>
      <c r="V72" s="10"/>
      <c r="W72" s="10"/>
    </row>
    <row r="73" spans="1:23" x14ac:dyDescent="0.35">
      <c r="A73" s="10" t="str">
        <f t="shared" si="11"/>
        <v/>
      </c>
      <c r="B73" s="8"/>
      <c r="C73" s="10" t="str">
        <f t="shared" si="12"/>
        <v/>
      </c>
      <c r="D73" s="10" t="str">
        <f t="shared" si="13"/>
        <v/>
      </c>
      <c r="E73" s="10" t="str">
        <f>IF(B73="","",IF(B73&lt;Config!$B$4,Config!$B$7,Config!$B$8))</f>
        <v/>
      </c>
      <c r="F73" s="10"/>
      <c r="G73" s="10"/>
      <c r="H73" s="10"/>
      <c r="I73" s="10"/>
      <c r="J73" s="10"/>
      <c r="K73" s="10"/>
      <c r="L73" s="10"/>
      <c r="M73" s="31"/>
      <c r="N73" s="32"/>
      <c r="O73" s="32"/>
      <c r="P73" s="33" t="str">
        <f t="shared" si="14"/>
        <v/>
      </c>
      <c r="Q73" s="32"/>
      <c r="R73" s="33" t="str">
        <f t="shared" si="15"/>
        <v/>
      </c>
      <c r="S73" s="31" t="str">
        <f t="shared" si="16"/>
        <v/>
      </c>
      <c r="T73" s="33"/>
      <c r="U73" s="10"/>
      <c r="V73" s="10"/>
      <c r="W73" s="10"/>
    </row>
    <row r="74" spans="1:23" x14ac:dyDescent="0.35">
      <c r="A74" s="10" t="str">
        <f t="shared" si="11"/>
        <v/>
      </c>
      <c r="B74" s="8"/>
      <c r="C74" s="10" t="str">
        <f t="shared" si="12"/>
        <v/>
      </c>
      <c r="D74" s="10" t="str">
        <f t="shared" si="13"/>
        <v/>
      </c>
      <c r="E74" s="10" t="str">
        <f>IF(B74="","",IF(B74&lt;Config!$B$4,Config!$B$7,Config!$B$8))</f>
        <v/>
      </c>
      <c r="F74" s="10"/>
      <c r="G74" s="10"/>
      <c r="H74" s="10"/>
      <c r="I74" s="10"/>
      <c r="J74" s="10"/>
      <c r="K74" s="10"/>
      <c r="L74" s="10"/>
      <c r="M74" s="31"/>
      <c r="N74" s="32"/>
      <c r="O74" s="32"/>
      <c r="P74" s="33" t="str">
        <f t="shared" si="14"/>
        <v/>
      </c>
      <c r="Q74" s="32"/>
      <c r="R74" s="33" t="str">
        <f t="shared" si="15"/>
        <v/>
      </c>
      <c r="S74" s="31" t="str">
        <f t="shared" si="16"/>
        <v/>
      </c>
      <c r="T74" s="33"/>
      <c r="U74" s="10"/>
      <c r="V74" s="10"/>
      <c r="W74" s="10"/>
    </row>
    <row r="75" spans="1:23" x14ac:dyDescent="0.35">
      <c r="A75" s="10" t="str">
        <f t="shared" si="11"/>
        <v/>
      </c>
      <c r="B75" s="8"/>
      <c r="C75" s="10" t="str">
        <f t="shared" si="12"/>
        <v/>
      </c>
      <c r="D75" s="10" t="str">
        <f t="shared" si="13"/>
        <v/>
      </c>
      <c r="E75" s="10" t="str">
        <f>IF(B75="","",IF(B75&lt;Config!$B$4,Config!$B$7,Config!$B$8))</f>
        <v/>
      </c>
      <c r="F75" s="10"/>
      <c r="G75" s="10"/>
      <c r="H75" s="10"/>
      <c r="I75" s="10"/>
      <c r="J75" s="10"/>
      <c r="K75" s="10"/>
      <c r="L75" s="10"/>
      <c r="M75" s="31"/>
      <c r="N75" s="32"/>
      <c r="O75" s="32"/>
      <c r="P75" s="33" t="str">
        <f t="shared" si="14"/>
        <v/>
      </c>
      <c r="Q75" s="32"/>
      <c r="R75" s="33" t="str">
        <f t="shared" si="15"/>
        <v/>
      </c>
      <c r="S75" s="31" t="str">
        <f t="shared" si="16"/>
        <v/>
      </c>
      <c r="T75" s="33"/>
      <c r="U75" s="10"/>
      <c r="V75" s="10"/>
      <c r="W75" s="10"/>
    </row>
    <row r="76" spans="1:23" x14ac:dyDescent="0.35">
      <c r="A76" s="10" t="str">
        <f t="shared" si="11"/>
        <v/>
      </c>
      <c r="B76" s="8"/>
      <c r="C76" s="10" t="str">
        <f t="shared" si="12"/>
        <v/>
      </c>
      <c r="D76" s="10" t="str">
        <f t="shared" si="13"/>
        <v/>
      </c>
      <c r="E76" s="10" t="str">
        <f>IF(B76="","",IF(B76&lt;Config!$B$4,Config!$B$7,Config!$B$8))</f>
        <v/>
      </c>
      <c r="F76" s="10"/>
      <c r="G76" s="10"/>
      <c r="H76" s="10"/>
      <c r="I76" s="10"/>
      <c r="J76" s="10"/>
      <c r="K76" s="10"/>
      <c r="L76" s="10"/>
      <c r="M76" s="31"/>
      <c r="N76" s="32"/>
      <c r="O76" s="32"/>
      <c r="P76" s="33" t="str">
        <f t="shared" si="14"/>
        <v/>
      </c>
      <c r="Q76" s="32"/>
      <c r="R76" s="33" t="str">
        <f t="shared" si="15"/>
        <v/>
      </c>
      <c r="S76" s="31" t="str">
        <f t="shared" si="16"/>
        <v/>
      </c>
      <c r="T76" s="33"/>
      <c r="U76" s="10"/>
      <c r="V76" s="10"/>
      <c r="W76" s="10"/>
    </row>
    <row r="77" spans="1:23" x14ac:dyDescent="0.35">
      <c r="A77" s="10" t="str">
        <f t="shared" ref="A77:A108" si="17">IF(B77="","",ROW()-1)</f>
        <v/>
      </c>
      <c r="B77" s="8"/>
      <c r="C77" s="10" t="str">
        <f t="shared" si="12"/>
        <v/>
      </c>
      <c r="D77" s="10" t="str">
        <f t="shared" si="13"/>
        <v/>
      </c>
      <c r="E77" s="10" t="str">
        <f>IF(B77="","",IF(B77&lt;Config!$B$4,Config!$B$7,Config!$B$8))</f>
        <v/>
      </c>
      <c r="F77" s="10"/>
      <c r="G77" s="10"/>
      <c r="H77" s="10"/>
      <c r="I77" s="10"/>
      <c r="J77" s="10"/>
      <c r="K77" s="10"/>
      <c r="L77" s="10"/>
      <c r="M77" s="31"/>
      <c r="N77" s="32"/>
      <c r="O77" s="32"/>
      <c r="P77" s="33" t="str">
        <f t="shared" si="14"/>
        <v/>
      </c>
      <c r="Q77" s="32"/>
      <c r="R77" s="33" t="str">
        <f t="shared" si="15"/>
        <v/>
      </c>
      <c r="S77" s="31" t="str">
        <f t="shared" si="16"/>
        <v/>
      </c>
      <c r="T77" s="33"/>
      <c r="U77" s="10"/>
      <c r="V77" s="10"/>
      <c r="W77" s="10"/>
    </row>
    <row r="78" spans="1:23" x14ac:dyDescent="0.35">
      <c r="A78" s="10" t="str">
        <f t="shared" si="17"/>
        <v/>
      </c>
      <c r="B78" s="8"/>
      <c r="C78" s="10" t="str">
        <f t="shared" si="12"/>
        <v/>
      </c>
      <c r="D78" s="10" t="str">
        <f t="shared" si="13"/>
        <v/>
      </c>
      <c r="E78" s="10" t="str">
        <f>IF(B78="","",IF(B78&lt;Config!$B$4,Config!$B$7,Config!$B$8))</f>
        <v/>
      </c>
      <c r="F78" s="10"/>
      <c r="G78" s="10"/>
      <c r="H78" s="10"/>
      <c r="I78" s="10"/>
      <c r="J78" s="10"/>
      <c r="K78" s="10"/>
      <c r="L78" s="10"/>
      <c r="M78" s="31"/>
      <c r="N78" s="32"/>
      <c r="O78" s="32"/>
      <c r="P78" s="33" t="str">
        <f t="shared" si="14"/>
        <v/>
      </c>
      <c r="Q78" s="32"/>
      <c r="R78" s="33" t="str">
        <f t="shared" si="15"/>
        <v/>
      </c>
      <c r="S78" s="31" t="str">
        <f t="shared" si="16"/>
        <v/>
      </c>
      <c r="T78" s="33"/>
      <c r="U78" s="10"/>
      <c r="V78" s="10"/>
      <c r="W78" s="10"/>
    </row>
    <row r="79" spans="1:23" x14ac:dyDescent="0.35">
      <c r="A79" s="10" t="str">
        <f t="shared" si="17"/>
        <v/>
      </c>
      <c r="B79" s="8"/>
      <c r="C79" s="10" t="str">
        <f t="shared" si="12"/>
        <v/>
      </c>
      <c r="D79" s="10" t="str">
        <f t="shared" si="13"/>
        <v/>
      </c>
      <c r="E79" s="10" t="str">
        <f>IF(B79="","",IF(B79&lt;Config!$B$4,Config!$B$7,Config!$B$8))</f>
        <v/>
      </c>
      <c r="F79" s="10"/>
      <c r="G79" s="10"/>
      <c r="H79" s="10"/>
      <c r="I79" s="10"/>
      <c r="J79" s="10"/>
      <c r="K79" s="10"/>
      <c r="L79" s="10"/>
      <c r="M79" s="31"/>
      <c r="N79" s="32"/>
      <c r="O79" s="32"/>
      <c r="P79" s="33" t="str">
        <f t="shared" si="14"/>
        <v/>
      </c>
      <c r="Q79" s="32"/>
      <c r="R79" s="33" t="str">
        <f t="shared" si="15"/>
        <v/>
      </c>
      <c r="S79" s="31" t="str">
        <f t="shared" si="16"/>
        <v/>
      </c>
      <c r="T79" s="33"/>
      <c r="U79" s="10"/>
      <c r="V79" s="10"/>
      <c r="W79" s="10"/>
    </row>
    <row r="80" spans="1:23" x14ac:dyDescent="0.35">
      <c r="A80" s="10" t="str">
        <f t="shared" si="17"/>
        <v/>
      </c>
      <c r="B80" s="8"/>
      <c r="C80" s="10" t="str">
        <f t="shared" si="12"/>
        <v/>
      </c>
      <c r="D80" s="10" t="str">
        <f t="shared" si="13"/>
        <v/>
      </c>
      <c r="E80" s="10" t="str">
        <f>IF(B80="","",IF(B80&lt;Config!$B$4,Config!$B$7,Config!$B$8))</f>
        <v/>
      </c>
      <c r="F80" s="10"/>
      <c r="G80" s="10"/>
      <c r="H80" s="10"/>
      <c r="I80" s="10"/>
      <c r="J80" s="10"/>
      <c r="K80" s="10"/>
      <c r="L80" s="10"/>
      <c r="M80" s="31"/>
      <c r="N80" s="32"/>
      <c r="O80" s="32"/>
      <c r="P80" s="33" t="str">
        <f t="shared" si="14"/>
        <v/>
      </c>
      <c r="Q80" s="32"/>
      <c r="R80" s="33" t="str">
        <f t="shared" si="15"/>
        <v/>
      </c>
      <c r="S80" s="31" t="str">
        <f t="shared" si="16"/>
        <v/>
      </c>
      <c r="T80" s="33"/>
      <c r="U80" s="10"/>
      <c r="V80" s="10"/>
      <c r="W80" s="10"/>
    </row>
    <row r="81" spans="1:23" x14ac:dyDescent="0.35">
      <c r="A81" s="10" t="str">
        <f t="shared" si="17"/>
        <v/>
      </c>
      <c r="B81" s="8"/>
      <c r="C81" s="10" t="str">
        <f t="shared" si="12"/>
        <v/>
      </c>
      <c r="D81" s="10" t="str">
        <f t="shared" si="13"/>
        <v/>
      </c>
      <c r="E81" s="10" t="str">
        <f>IF(B81="","",IF(B81&lt;Config!$B$4,Config!$B$7,Config!$B$8))</f>
        <v/>
      </c>
      <c r="F81" s="10"/>
      <c r="G81" s="10"/>
      <c r="H81" s="10"/>
      <c r="I81" s="10"/>
      <c r="J81" s="10"/>
      <c r="K81" s="10"/>
      <c r="L81" s="10"/>
      <c r="M81" s="31"/>
      <c r="N81" s="32"/>
      <c r="O81" s="32"/>
      <c r="P81" s="33" t="str">
        <f t="shared" si="14"/>
        <v/>
      </c>
      <c r="Q81" s="32"/>
      <c r="R81" s="33" t="str">
        <f t="shared" si="15"/>
        <v/>
      </c>
      <c r="S81" s="31" t="str">
        <f t="shared" si="16"/>
        <v/>
      </c>
      <c r="T81" s="33"/>
      <c r="U81" s="10"/>
      <c r="V81" s="10"/>
      <c r="W81" s="10"/>
    </row>
    <row r="82" spans="1:23" x14ac:dyDescent="0.35">
      <c r="A82" s="10" t="str">
        <f t="shared" si="17"/>
        <v/>
      </c>
      <c r="B82" s="8"/>
      <c r="C82" s="10" t="str">
        <f t="shared" si="12"/>
        <v/>
      </c>
      <c r="D82" s="10" t="str">
        <f t="shared" si="13"/>
        <v/>
      </c>
      <c r="E82" s="10" t="str">
        <f>IF(B82="","",IF(B82&lt;Config!$B$4,Config!$B$7,Config!$B$8))</f>
        <v/>
      </c>
      <c r="F82" s="10"/>
      <c r="G82" s="10"/>
      <c r="H82" s="10"/>
      <c r="I82" s="10"/>
      <c r="J82" s="10"/>
      <c r="K82" s="10"/>
      <c r="L82" s="10"/>
      <c r="M82" s="31"/>
      <c r="N82" s="32"/>
      <c r="O82" s="32"/>
      <c r="P82" s="33" t="str">
        <f t="shared" si="14"/>
        <v/>
      </c>
      <c r="Q82" s="32"/>
      <c r="R82" s="33" t="str">
        <f t="shared" si="15"/>
        <v/>
      </c>
      <c r="S82" s="31" t="str">
        <f t="shared" si="16"/>
        <v/>
      </c>
      <c r="T82" s="33"/>
      <c r="U82" s="10"/>
      <c r="V82" s="10"/>
      <c r="W82" s="10"/>
    </row>
    <row r="83" spans="1:23" x14ac:dyDescent="0.35">
      <c r="A83" s="10" t="str">
        <f t="shared" si="17"/>
        <v/>
      </c>
      <c r="B83" s="8"/>
      <c r="C83" s="10" t="str">
        <f t="shared" si="12"/>
        <v/>
      </c>
      <c r="D83" s="10" t="str">
        <f t="shared" si="13"/>
        <v/>
      </c>
      <c r="E83" s="10" t="str">
        <f>IF(B83="","",IF(B83&lt;Config!$B$4,Config!$B$7,Config!$B$8))</f>
        <v/>
      </c>
      <c r="F83" s="10"/>
      <c r="G83" s="10"/>
      <c r="H83" s="10"/>
      <c r="I83" s="10"/>
      <c r="J83" s="10"/>
      <c r="K83" s="10"/>
      <c r="L83" s="10"/>
      <c r="M83" s="31"/>
      <c r="N83" s="32"/>
      <c r="O83" s="32"/>
      <c r="P83" s="33" t="str">
        <f t="shared" si="14"/>
        <v/>
      </c>
      <c r="Q83" s="32"/>
      <c r="R83" s="33" t="str">
        <f t="shared" si="15"/>
        <v/>
      </c>
      <c r="S83" s="31" t="str">
        <f t="shared" si="16"/>
        <v/>
      </c>
      <c r="T83" s="33"/>
      <c r="U83" s="10"/>
      <c r="V83" s="10"/>
      <c r="W83" s="10"/>
    </row>
    <row r="84" spans="1:23" x14ac:dyDescent="0.35">
      <c r="A84" s="10" t="str">
        <f t="shared" si="17"/>
        <v/>
      </c>
      <c r="B84" s="8"/>
      <c r="C84" s="10" t="str">
        <f t="shared" si="12"/>
        <v/>
      </c>
      <c r="D84" s="10" t="str">
        <f t="shared" si="13"/>
        <v/>
      </c>
      <c r="E84" s="10" t="str">
        <f>IF(B84="","",IF(B84&lt;Config!$B$4,Config!$B$7,Config!$B$8))</f>
        <v/>
      </c>
      <c r="F84" s="10"/>
      <c r="G84" s="10"/>
      <c r="H84" s="10"/>
      <c r="I84" s="10"/>
      <c r="J84" s="10"/>
      <c r="K84" s="10"/>
      <c r="L84" s="10"/>
      <c r="M84" s="31"/>
      <c r="N84" s="32"/>
      <c r="O84" s="32"/>
      <c r="P84" s="33" t="str">
        <f t="shared" si="14"/>
        <v/>
      </c>
      <c r="Q84" s="32"/>
      <c r="R84" s="33" t="str">
        <f t="shared" si="15"/>
        <v/>
      </c>
      <c r="S84" s="31" t="str">
        <f t="shared" si="16"/>
        <v/>
      </c>
      <c r="T84" s="33"/>
      <c r="U84" s="10"/>
      <c r="V84" s="10"/>
      <c r="W84" s="10"/>
    </row>
    <row r="85" spans="1:23" x14ac:dyDescent="0.35">
      <c r="A85" s="10" t="str">
        <f t="shared" si="17"/>
        <v/>
      </c>
      <c r="B85" s="8"/>
      <c r="C85" s="10" t="str">
        <f t="shared" si="12"/>
        <v/>
      </c>
      <c r="D85" s="10" t="str">
        <f t="shared" si="13"/>
        <v/>
      </c>
      <c r="E85" s="10" t="str">
        <f>IF(B85="","",IF(B85&lt;Config!$B$4,Config!$B$7,Config!$B$8))</f>
        <v/>
      </c>
      <c r="F85" s="10"/>
      <c r="G85" s="10"/>
      <c r="H85" s="10"/>
      <c r="I85" s="10"/>
      <c r="J85" s="10"/>
      <c r="K85" s="10"/>
      <c r="L85" s="10"/>
      <c r="M85" s="31"/>
      <c r="N85" s="32"/>
      <c r="O85" s="32"/>
      <c r="P85" s="33" t="str">
        <f t="shared" si="14"/>
        <v/>
      </c>
      <c r="Q85" s="32"/>
      <c r="R85" s="33" t="str">
        <f t="shared" si="15"/>
        <v/>
      </c>
      <c r="S85" s="31" t="str">
        <f t="shared" si="16"/>
        <v/>
      </c>
      <c r="T85" s="33"/>
      <c r="U85" s="10"/>
      <c r="V85" s="10"/>
      <c r="W85" s="10"/>
    </row>
    <row r="86" spans="1:23" x14ac:dyDescent="0.35">
      <c r="A86" s="10" t="str">
        <f t="shared" si="17"/>
        <v/>
      </c>
      <c r="B86" s="8"/>
      <c r="C86" s="10" t="str">
        <f t="shared" si="12"/>
        <v/>
      </c>
      <c r="D86" s="10" t="str">
        <f t="shared" si="13"/>
        <v/>
      </c>
      <c r="E86" s="10" t="str">
        <f>IF(B86="","",IF(B86&lt;Config!$B$4,Config!$B$7,Config!$B$8))</f>
        <v/>
      </c>
      <c r="F86" s="10"/>
      <c r="G86" s="10"/>
      <c r="H86" s="10"/>
      <c r="I86" s="10"/>
      <c r="J86" s="10"/>
      <c r="K86" s="10"/>
      <c r="L86" s="10"/>
      <c r="M86" s="31"/>
      <c r="N86" s="32"/>
      <c r="O86" s="32"/>
      <c r="P86" s="33" t="str">
        <f t="shared" si="14"/>
        <v/>
      </c>
      <c r="Q86" s="32"/>
      <c r="R86" s="33" t="str">
        <f t="shared" si="15"/>
        <v/>
      </c>
      <c r="S86" s="31" t="str">
        <f t="shared" si="16"/>
        <v/>
      </c>
      <c r="T86" s="33"/>
      <c r="U86" s="10"/>
      <c r="V86" s="10"/>
      <c r="W86" s="10"/>
    </row>
    <row r="87" spans="1:23" x14ac:dyDescent="0.35">
      <c r="A87" s="10" t="str">
        <f t="shared" si="17"/>
        <v/>
      </c>
      <c r="B87" s="8"/>
      <c r="C87" s="10" t="str">
        <f t="shared" si="12"/>
        <v/>
      </c>
      <c r="D87" s="10" t="str">
        <f t="shared" si="13"/>
        <v/>
      </c>
      <c r="E87" s="10" t="str">
        <f>IF(B87="","",IF(B87&lt;Config!$B$4,Config!$B$7,Config!$B$8))</f>
        <v/>
      </c>
      <c r="F87" s="10"/>
      <c r="G87" s="10"/>
      <c r="H87" s="10"/>
      <c r="I87" s="10"/>
      <c r="J87" s="10"/>
      <c r="K87" s="10"/>
      <c r="L87" s="10"/>
      <c r="M87" s="31"/>
      <c r="N87" s="32"/>
      <c r="O87" s="32"/>
      <c r="P87" s="33" t="str">
        <f t="shared" si="14"/>
        <v/>
      </c>
      <c r="Q87" s="32"/>
      <c r="R87" s="33" t="str">
        <f t="shared" si="15"/>
        <v/>
      </c>
      <c r="S87" s="31" t="str">
        <f t="shared" si="16"/>
        <v/>
      </c>
      <c r="T87" s="33"/>
      <c r="U87" s="10"/>
      <c r="V87" s="10"/>
      <c r="W87" s="10"/>
    </row>
    <row r="88" spans="1:23" x14ac:dyDescent="0.35">
      <c r="A88" s="10" t="str">
        <f t="shared" si="17"/>
        <v/>
      </c>
      <c r="B88" s="8"/>
      <c r="C88" s="10" t="str">
        <f t="shared" si="12"/>
        <v/>
      </c>
      <c r="D88" s="10" t="str">
        <f t="shared" si="13"/>
        <v/>
      </c>
      <c r="E88" s="10" t="str">
        <f>IF(B88="","",IF(B88&lt;Config!$B$4,Config!$B$7,Config!$B$8))</f>
        <v/>
      </c>
      <c r="F88" s="10"/>
      <c r="G88" s="10"/>
      <c r="H88" s="10"/>
      <c r="I88" s="10"/>
      <c r="J88" s="10"/>
      <c r="K88" s="10"/>
      <c r="L88" s="10"/>
      <c r="M88" s="31"/>
      <c r="N88" s="32"/>
      <c r="O88" s="32"/>
      <c r="P88" s="33" t="str">
        <f t="shared" si="14"/>
        <v/>
      </c>
      <c r="Q88" s="32"/>
      <c r="R88" s="33" t="str">
        <f t="shared" si="15"/>
        <v/>
      </c>
      <c r="S88" s="31" t="str">
        <f t="shared" si="16"/>
        <v/>
      </c>
      <c r="T88" s="33"/>
      <c r="U88" s="10"/>
      <c r="V88" s="10"/>
      <c r="W88" s="10"/>
    </row>
    <row r="89" spans="1:23" x14ac:dyDescent="0.35">
      <c r="A89" s="10" t="str">
        <f t="shared" si="17"/>
        <v/>
      </c>
      <c r="B89" s="8"/>
      <c r="C89" s="10" t="str">
        <f t="shared" si="12"/>
        <v/>
      </c>
      <c r="D89" s="10" t="str">
        <f t="shared" si="13"/>
        <v/>
      </c>
      <c r="E89" s="10" t="str">
        <f>IF(B89="","",IF(B89&lt;Config!$B$4,Config!$B$7,Config!$B$8))</f>
        <v/>
      </c>
      <c r="F89" s="10"/>
      <c r="G89" s="10"/>
      <c r="H89" s="10"/>
      <c r="I89" s="10"/>
      <c r="J89" s="10"/>
      <c r="K89" s="10"/>
      <c r="L89" s="10"/>
      <c r="M89" s="31"/>
      <c r="N89" s="32"/>
      <c r="O89" s="32"/>
      <c r="P89" s="33" t="str">
        <f t="shared" si="14"/>
        <v/>
      </c>
      <c r="Q89" s="32"/>
      <c r="R89" s="33" t="str">
        <f t="shared" si="15"/>
        <v/>
      </c>
      <c r="S89" s="31" t="str">
        <f t="shared" si="16"/>
        <v/>
      </c>
      <c r="T89" s="33"/>
      <c r="U89" s="10"/>
      <c r="V89" s="10"/>
      <c r="W89" s="10"/>
    </row>
    <row r="90" spans="1:23" x14ac:dyDescent="0.35">
      <c r="A90" s="10" t="str">
        <f t="shared" si="17"/>
        <v/>
      </c>
      <c r="B90" s="8"/>
      <c r="C90" s="10" t="str">
        <f t="shared" si="12"/>
        <v/>
      </c>
      <c r="D90" s="10" t="str">
        <f t="shared" si="13"/>
        <v/>
      </c>
      <c r="E90" s="10" t="str">
        <f>IF(B90="","",IF(B90&lt;Config!$B$4,Config!$B$7,Config!$B$8))</f>
        <v/>
      </c>
      <c r="F90" s="10"/>
      <c r="G90" s="10"/>
      <c r="H90" s="10"/>
      <c r="I90" s="10"/>
      <c r="J90" s="10"/>
      <c r="K90" s="10"/>
      <c r="L90" s="10"/>
      <c r="M90" s="31"/>
      <c r="N90" s="32"/>
      <c r="O90" s="32"/>
      <c r="P90" s="33" t="str">
        <f t="shared" si="14"/>
        <v/>
      </c>
      <c r="Q90" s="32"/>
      <c r="R90" s="33" t="str">
        <f t="shared" si="15"/>
        <v/>
      </c>
      <c r="S90" s="31" t="str">
        <f t="shared" si="16"/>
        <v/>
      </c>
      <c r="T90" s="33"/>
      <c r="U90" s="10"/>
      <c r="V90" s="10"/>
      <c r="W90" s="10"/>
    </row>
    <row r="91" spans="1:23" x14ac:dyDescent="0.35">
      <c r="A91" s="10" t="str">
        <f t="shared" si="17"/>
        <v/>
      </c>
      <c r="B91" s="8"/>
      <c r="C91" s="10" t="str">
        <f t="shared" si="12"/>
        <v/>
      </c>
      <c r="D91" s="10" t="str">
        <f t="shared" si="13"/>
        <v/>
      </c>
      <c r="E91" s="10" t="str">
        <f>IF(B91="","",IF(B91&lt;Config!$B$4,Config!$B$7,Config!$B$8))</f>
        <v/>
      </c>
      <c r="F91" s="10"/>
      <c r="G91" s="10"/>
      <c r="H91" s="10"/>
      <c r="I91" s="10"/>
      <c r="J91" s="10"/>
      <c r="K91" s="10"/>
      <c r="L91" s="10"/>
      <c r="M91" s="31"/>
      <c r="N91" s="32"/>
      <c r="O91" s="32"/>
      <c r="P91" s="33" t="str">
        <f t="shared" si="14"/>
        <v/>
      </c>
      <c r="Q91" s="32"/>
      <c r="R91" s="33" t="str">
        <f t="shared" si="15"/>
        <v/>
      </c>
      <c r="S91" s="31" t="str">
        <f t="shared" si="16"/>
        <v/>
      </c>
      <c r="T91" s="33"/>
      <c r="U91" s="10"/>
      <c r="V91" s="10"/>
      <c r="W91" s="10"/>
    </row>
    <row r="92" spans="1:23" x14ac:dyDescent="0.35">
      <c r="A92" s="10" t="str">
        <f t="shared" si="17"/>
        <v/>
      </c>
      <c r="B92" s="8"/>
      <c r="C92" s="10" t="str">
        <f t="shared" si="12"/>
        <v/>
      </c>
      <c r="D92" s="10" t="str">
        <f t="shared" si="13"/>
        <v/>
      </c>
      <c r="E92" s="10" t="str">
        <f>IF(B92="","",IF(B92&lt;Config!$B$4,Config!$B$7,Config!$B$8))</f>
        <v/>
      </c>
      <c r="F92" s="10"/>
      <c r="G92" s="10"/>
      <c r="H92" s="10"/>
      <c r="I92" s="10"/>
      <c r="J92" s="10"/>
      <c r="K92" s="10"/>
      <c r="L92" s="10"/>
      <c r="M92" s="31"/>
      <c r="N92" s="32"/>
      <c r="O92" s="32"/>
      <c r="P92" s="33" t="str">
        <f t="shared" si="14"/>
        <v/>
      </c>
      <c r="Q92" s="32"/>
      <c r="R92" s="33" t="str">
        <f t="shared" si="15"/>
        <v/>
      </c>
      <c r="S92" s="31" t="str">
        <f t="shared" si="16"/>
        <v/>
      </c>
      <c r="T92" s="33"/>
      <c r="U92" s="10"/>
      <c r="V92" s="10"/>
      <c r="W92" s="10"/>
    </row>
    <row r="93" spans="1:23" x14ac:dyDescent="0.35">
      <c r="A93" s="10" t="str">
        <f t="shared" si="17"/>
        <v/>
      </c>
      <c r="B93" s="8"/>
      <c r="C93" s="10" t="str">
        <f t="shared" si="12"/>
        <v/>
      </c>
      <c r="D93" s="10" t="str">
        <f t="shared" si="13"/>
        <v/>
      </c>
      <c r="E93" s="10" t="str">
        <f>IF(B93="","",IF(B93&lt;Config!$B$4,Config!$B$7,Config!$B$8))</f>
        <v/>
      </c>
      <c r="F93" s="10"/>
      <c r="G93" s="10"/>
      <c r="H93" s="10"/>
      <c r="I93" s="10"/>
      <c r="J93" s="10"/>
      <c r="K93" s="10"/>
      <c r="L93" s="10"/>
      <c r="M93" s="31"/>
      <c r="N93" s="32"/>
      <c r="O93" s="32"/>
      <c r="P93" s="33" t="str">
        <f t="shared" si="14"/>
        <v/>
      </c>
      <c r="Q93" s="32"/>
      <c r="R93" s="33" t="str">
        <f t="shared" si="15"/>
        <v/>
      </c>
      <c r="S93" s="31" t="str">
        <f t="shared" si="16"/>
        <v/>
      </c>
      <c r="T93" s="33"/>
      <c r="U93" s="10"/>
      <c r="V93" s="10"/>
      <c r="W93" s="10"/>
    </row>
    <row r="94" spans="1:23" x14ac:dyDescent="0.35">
      <c r="A94" s="10" t="str">
        <f t="shared" si="17"/>
        <v/>
      </c>
      <c r="B94" s="8"/>
      <c r="C94" s="10" t="str">
        <f t="shared" si="12"/>
        <v/>
      </c>
      <c r="D94" s="10" t="str">
        <f t="shared" si="13"/>
        <v/>
      </c>
      <c r="E94" s="10" t="str">
        <f>IF(B94="","",IF(B94&lt;Config!$B$4,Config!$B$7,Config!$B$8))</f>
        <v/>
      </c>
      <c r="F94" s="10"/>
      <c r="G94" s="10"/>
      <c r="H94" s="10"/>
      <c r="I94" s="10"/>
      <c r="J94" s="10"/>
      <c r="K94" s="10"/>
      <c r="L94" s="10"/>
      <c r="M94" s="31"/>
      <c r="N94" s="32"/>
      <c r="O94" s="32"/>
      <c r="P94" s="33" t="str">
        <f t="shared" si="14"/>
        <v/>
      </c>
      <c r="Q94" s="32"/>
      <c r="R94" s="33" t="str">
        <f t="shared" si="15"/>
        <v/>
      </c>
      <c r="S94" s="31" t="str">
        <f t="shared" si="16"/>
        <v/>
      </c>
      <c r="T94" s="33"/>
      <c r="U94" s="10"/>
      <c r="V94" s="10"/>
      <c r="W94" s="10"/>
    </row>
    <row r="95" spans="1:23" x14ac:dyDescent="0.35">
      <c r="A95" s="10" t="str">
        <f t="shared" si="17"/>
        <v/>
      </c>
      <c r="B95" s="8"/>
      <c r="C95" s="10" t="str">
        <f t="shared" si="12"/>
        <v/>
      </c>
      <c r="D95" s="10" t="str">
        <f t="shared" si="13"/>
        <v/>
      </c>
      <c r="E95" s="10" t="str">
        <f>IF(B95="","",IF(B95&lt;Config!$B$4,Config!$B$7,Config!$B$8))</f>
        <v/>
      </c>
      <c r="F95" s="10"/>
      <c r="G95" s="10"/>
      <c r="H95" s="10"/>
      <c r="I95" s="10"/>
      <c r="J95" s="10"/>
      <c r="K95" s="10"/>
      <c r="L95" s="10"/>
      <c r="M95" s="31"/>
      <c r="N95" s="32"/>
      <c r="O95" s="32"/>
      <c r="P95" s="33" t="str">
        <f t="shared" si="14"/>
        <v/>
      </c>
      <c r="Q95" s="32"/>
      <c r="R95" s="33" t="str">
        <f t="shared" si="15"/>
        <v/>
      </c>
      <c r="S95" s="31" t="str">
        <f t="shared" si="16"/>
        <v/>
      </c>
      <c r="T95" s="33"/>
      <c r="U95" s="10"/>
      <c r="V95" s="10"/>
      <c r="W95" s="10"/>
    </row>
    <row r="96" spans="1:23" x14ac:dyDescent="0.35">
      <c r="A96" s="10" t="str">
        <f t="shared" si="17"/>
        <v/>
      </c>
      <c r="B96" s="8"/>
      <c r="C96" s="10" t="str">
        <f t="shared" si="12"/>
        <v/>
      </c>
      <c r="D96" s="10" t="str">
        <f t="shared" si="13"/>
        <v/>
      </c>
      <c r="E96" s="10" t="str">
        <f>IF(B96="","",IF(B96&lt;Config!$B$4,Config!$B$7,Config!$B$8))</f>
        <v/>
      </c>
      <c r="F96" s="10"/>
      <c r="G96" s="10"/>
      <c r="H96" s="10"/>
      <c r="I96" s="10"/>
      <c r="J96" s="10"/>
      <c r="K96" s="10"/>
      <c r="L96" s="10"/>
      <c r="M96" s="31"/>
      <c r="N96" s="32"/>
      <c r="O96" s="32"/>
      <c r="P96" s="33" t="str">
        <f t="shared" si="14"/>
        <v/>
      </c>
      <c r="Q96" s="32"/>
      <c r="R96" s="33" t="str">
        <f t="shared" si="15"/>
        <v/>
      </c>
      <c r="S96" s="31" t="str">
        <f t="shared" si="16"/>
        <v/>
      </c>
      <c r="T96" s="33"/>
      <c r="U96" s="10"/>
      <c r="V96" s="10"/>
      <c r="W96" s="10"/>
    </row>
    <row r="97" spans="1:23" x14ac:dyDescent="0.35">
      <c r="A97" s="10" t="str">
        <f t="shared" si="17"/>
        <v/>
      </c>
      <c r="B97" s="8"/>
      <c r="C97" s="10" t="str">
        <f t="shared" si="12"/>
        <v/>
      </c>
      <c r="D97" s="10" t="str">
        <f t="shared" si="13"/>
        <v/>
      </c>
      <c r="E97" s="10" t="str">
        <f>IF(B97="","",IF(B97&lt;Config!$B$4,Config!$B$7,Config!$B$8))</f>
        <v/>
      </c>
      <c r="F97" s="10"/>
      <c r="G97" s="10"/>
      <c r="H97" s="10"/>
      <c r="I97" s="10"/>
      <c r="J97" s="10"/>
      <c r="K97" s="10"/>
      <c r="L97" s="10"/>
      <c r="M97" s="31"/>
      <c r="N97" s="32"/>
      <c r="O97" s="32"/>
      <c r="P97" s="33" t="str">
        <f t="shared" si="14"/>
        <v/>
      </c>
      <c r="Q97" s="32"/>
      <c r="R97" s="33" t="str">
        <f t="shared" si="15"/>
        <v/>
      </c>
      <c r="S97" s="31" t="str">
        <f t="shared" si="16"/>
        <v/>
      </c>
      <c r="T97" s="33"/>
      <c r="U97" s="10"/>
      <c r="V97" s="10"/>
      <c r="W97" s="10"/>
    </row>
    <row r="98" spans="1:23" x14ac:dyDescent="0.35">
      <c r="A98" s="10" t="str">
        <f t="shared" si="17"/>
        <v/>
      </c>
      <c r="B98" s="8"/>
      <c r="C98" s="10" t="str">
        <f t="shared" ref="C98:C129" si="18">IF(B98="","",TEXT(B98,"YYYY-MM"))</f>
        <v/>
      </c>
      <c r="D98" s="10" t="str">
        <f t="shared" ref="D98:D129" si="19">IF(B98="","",TEXT(B98,"MMM YYYY"))</f>
        <v/>
      </c>
      <c r="E98" s="10" t="str">
        <f>IF(B98="","",IF(B98&lt;Config!$B$4,Config!$B$7,Config!$B$8))</f>
        <v/>
      </c>
      <c r="F98" s="10"/>
      <c r="G98" s="10"/>
      <c r="H98" s="10"/>
      <c r="I98" s="10"/>
      <c r="J98" s="10"/>
      <c r="K98" s="10"/>
      <c r="L98" s="10"/>
      <c r="M98" s="31"/>
      <c r="N98" s="32"/>
      <c r="O98" s="32"/>
      <c r="P98" s="33" t="str">
        <f t="shared" ref="P98:P129" si="20">IF(OR(N98="",O98=""),"",IF(N98=0,"",O98/N98*100))</f>
        <v/>
      </c>
      <c r="Q98" s="32"/>
      <c r="R98" s="33" t="str">
        <f t="shared" ref="R98:R129" si="21">IF(OR(O98="",Q98=""),"",IF(O98=0,"",Q98/O98*100))</f>
        <v/>
      </c>
      <c r="S98" s="31" t="str">
        <f t="shared" ref="S98:S129" si="22">IF(OR(M98="",Q98=""),"",IF(Q98=0,"",M98/Q98))</f>
        <v/>
      </c>
      <c r="T98" s="33"/>
      <c r="U98" s="10"/>
      <c r="V98" s="10"/>
      <c r="W98" s="10"/>
    </row>
    <row r="99" spans="1:23" x14ac:dyDescent="0.35">
      <c r="A99" s="10" t="str">
        <f t="shared" si="17"/>
        <v/>
      </c>
      <c r="B99" s="8"/>
      <c r="C99" s="10" t="str">
        <f t="shared" si="18"/>
        <v/>
      </c>
      <c r="D99" s="10" t="str">
        <f t="shared" si="19"/>
        <v/>
      </c>
      <c r="E99" s="10" t="str">
        <f>IF(B99="","",IF(B99&lt;Config!$B$4,Config!$B$7,Config!$B$8))</f>
        <v/>
      </c>
      <c r="F99" s="10"/>
      <c r="G99" s="10"/>
      <c r="H99" s="10"/>
      <c r="I99" s="10"/>
      <c r="J99" s="10"/>
      <c r="K99" s="10"/>
      <c r="L99" s="10"/>
      <c r="M99" s="31"/>
      <c r="N99" s="32"/>
      <c r="O99" s="32"/>
      <c r="P99" s="33" t="str">
        <f t="shared" si="20"/>
        <v/>
      </c>
      <c r="Q99" s="32"/>
      <c r="R99" s="33" t="str">
        <f t="shared" si="21"/>
        <v/>
      </c>
      <c r="S99" s="31" t="str">
        <f t="shared" si="22"/>
        <v/>
      </c>
      <c r="T99" s="33"/>
      <c r="U99" s="10"/>
      <c r="V99" s="10"/>
      <c r="W99" s="10"/>
    </row>
    <row r="100" spans="1:23" x14ac:dyDescent="0.35">
      <c r="A100" s="10" t="str">
        <f t="shared" si="17"/>
        <v/>
      </c>
      <c r="B100" s="8"/>
      <c r="C100" s="10" t="str">
        <f t="shared" si="18"/>
        <v/>
      </c>
      <c r="D100" s="10" t="str">
        <f t="shared" si="19"/>
        <v/>
      </c>
      <c r="E100" s="10" t="str">
        <f>IF(B100="","",IF(B100&lt;Config!$B$4,Config!$B$7,Config!$B$8))</f>
        <v/>
      </c>
      <c r="F100" s="10"/>
      <c r="G100" s="10"/>
      <c r="H100" s="10"/>
      <c r="I100" s="10"/>
      <c r="J100" s="10"/>
      <c r="K100" s="10"/>
      <c r="L100" s="10"/>
      <c r="M100" s="31"/>
      <c r="N100" s="32"/>
      <c r="O100" s="32"/>
      <c r="P100" s="33" t="str">
        <f t="shared" si="20"/>
        <v/>
      </c>
      <c r="Q100" s="32"/>
      <c r="R100" s="33" t="str">
        <f t="shared" si="21"/>
        <v/>
      </c>
      <c r="S100" s="31" t="str">
        <f t="shared" si="22"/>
        <v/>
      </c>
      <c r="T100" s="33"/>
      <c r="U100" s="10"/>
      <c r="V100" s="10"/>
      <c r="W100" s="10"/>
    </row>
    <row r="101" spans="1:23" x14ac:dyDescent="0.35">
      <c r="A101" s="10" t="str">
        <f t="shared" si="17"/>
        <v/>
      </c>
      <c r="B101" s="8"/>
      <c r="C101" s="10" t="str">
        <f t="shared" si="18"/>
        <v/>
      </c>
      <c r="D101" s="10" t="str">
        <f t="shared" si="19"/>
        <v/>
      </c>
      <c r="E101" s="10" t="str">
        <f>IF(B101="","",IF(B101&lt;Config!$B$4,Config!$B$7,Config!$B$8))</f>
        <v/>
      </c>
      <c r="F101" s="10"/>
      <c r="G101" s="10"/>
      <c r="H101" s="10"/>
      <c r="I101" s="10"/>
      <c r="J101" s="10"/>
      <c r="K101" s="10"/>
      <c r="L101" s="10"/>
      <c r="M101" s="31"/>
      <c r="N101" s="32"/>
      <c r="O101" s="32"/>
      <c r="P101" s="33" t="str">
        <f t="shared" si="20"/>
        <v/>
      </c>
      <c r="Q101" s="32"/>
      <c r="R101" s="33" t="str">
        <f t="shared" si="21"/>
        <v/>
      </c>
      <c r="S101" s="31" t="str">
        <f t="shared" si="22"/>
        <v/>
      </c>
      <c r="T101" s="33"/>
      <c r="U101" s="10"/>
      <c r="V101" s="10"/>
      <c r="W101" s="10"/>
    </row>
    <row r="102" spans="1:23" x14ac:dyDescent="0.35">
      <c r="A102" s="10" t="str">
        <f t="shared" si="17"/>
        <v/>
      </c>
      <c r="B102" s="8"/>
      <c r="C102" s="10" t="str">
        <f t="shared" si="18"/>
        <v/>
      </c>
      <c r="D102" s="10" t="str">
        <f t="shared" si="19"/>
        <v/>
      </c>
      <c r="E102" s="10" t="str">
        <f>IF(B102="","",IF(B102&lt;Config!$B$4,Config!$B$7,Config!$B$8))</f>
        <v/>
      </c>
      <c r="F102" s="10"/>
      <c r="G102" s="10"/>
      <c r="H102" s="10"/>
      <c r="I102" s="10"/>
      <c r="J102" s="10"/>
      <c r="K102" s="10"/>
      <c r="L102" s="10"/>
      <c r="M102" s="31"/>
      <c r="N102" s="32"/>
      <c r="O102" s="32"/>
      <c r="P102" s="33" t="str">
        <f t="shared" si="20"/>
        <v/>
      </c>
      <c r="Q102" s="32"/>
      <c r="R102" s="33" t="str">
        <f t="shared" si="21"/>
        <v/>
      </c>
      <c r="S102" s="31" t="str">
        <f t="shared" si="22"/>
        <v/>
      </c>
      <c r="T102" s="33"/>
      <c r="U102" s="10"/>
      <c r="V102" s="10"/>
      <c r="W102" s="10"/>
    </row>
    <row r="103" spans="1:23" x14ac:dyDescent="0.35">
      <c r="A103" s="10" t="str">
        <f t="shared" si="17"/>
        <v/>
      </c>
      <c r="B103" s="8"/>
      <c r="C103" s="10" t="str">
        <f t="shared" si="18"/>
        <v/>
      </c>
      <c r="D103" s="10" t="str">
        <f t="shared" si="19"/>
        <v/>
      </c>
      <c r="E103" s="10" t="str">
        <f>IF(B103="","",IF(B103&lt;Config!$B$4,Config!$B$7,Config!$B$8))</f>
        <v/>
      </c>
      <c r="F103" s="10"/>
      <c r="G103" s="10"/>
      <c r="H103" s="10"/>
      <c r="I103" s="10"/>
      <c r="J103" s="10"/>
      <c r="K103" s="10"/>
      <c r="L103" s="10"/>
      <c r="M103" s="31"/>
      <c r="N103" s="32"/>
      <c r="O103" s="32"/>
      <c r="P103" s="33" t="str">
        <f t="shared" si="20"/>
        <v/>
      </c>
      <c r="Q103" s="32"/>
      <c r="R103" s="33" t="str">
        <f t="shared" si="21"/>
        <v/>
      </c>
      <c r="S103" s="31" t="str">
        <f t="shared" si="22"/>
        <v/>
      </c>
      <c r="T103" s="33"/>
      <c r="U103" s="10"/>
      <c r="V103" s="10"/>
      <c r="W103" s="10"/>
    </row>
    <row r="104" spans="1:23" x14ac:dyDescent="0.35">
      <c r="A104" s="10" t="str">
        <f t="shared" si="17"/>
        <v/>
      </c>
      <c r="B104" s="8"/>
      <c r="C104" s="10" t="str">
        <f t="shared" si="18"/>
        <v/>
      </c>
      <c r="D104" s="10" t="str">
        <f t="shared" si="19"/>
        <v/>
      </c>
      <c r="E104" s="10" t="str">
        <f>IF(B104="","",IF(B104&lt;Config!$B$4,Config!$B$7,Config!$B$8))</f>
        <v/>
      </c>
      <c r="F104" s="10"/>
      <c r="G104" s="10"/>
      <c r="H104" s="10"/>
      <c r="I104" s="10"/>
      <c r="J104" s="10"/>
      <c r="K104" s="10"/>
      <c r="L104" s="10"/>
      <c r="M104" s="31"/>
      <c r="N104" s="32"/>
      <c r="O104" s="32"/>
      <c r="P104" s="33" t="str">
        <f t="shared" si="20"/>
        <v/>
      </c>
      <c r="Q104" s="32"/>
      <c r="R104" s="33" t="str">
        <f t="shared" si="21"/>
        <v/>
      </c>
      <c r="S104" s="31" t="str">
        <f t="shared" si="22"/>
        <v/>
      </c>
      <c r="T104" s="33"/>
      <c r="U104" s="10"/>
      <c r="V104" s="10"/>
      <c r="W104" s="10"/>
    </row>
    <row r="105" spans="1:23" x14ac:dyDescent="0.35">
      <c r="A105" s="10" t="str">
        <f t="shared" si="17"/>
        <v/>
      </c>
      <c r="B105" s="8"/>
      <c r="C105" s="10" t="str">
        <f t="shared" si="18"/>
        <v/>
      </c>
      <c r="D105" s="10" t="str">
        <f t="shared" si="19"/>
        <v/>
      </c>
      <c r="E105" s="10" t="str">
        <f>IF(B105="","",IF(B105&lt;Config!$B$4,Config!$B$7,Config!$B$8))</f>
        <v/>
      </c>
      <c r="F105" s="10"/>
      <c r="G105" s="10"/>
      <c r="H105" s="10"/>
      <c r="I105" s="10"/>
      <c r="J105" s="10"/>
      <c r="K105" s="10"/>
      <c r="L105" s="10"/>
      <c r="M105" s="31"/>
      <c r="N105" s="32"/>
      <c r="O105" s="32"/>
      <c r="P105" s="33" t="str">
        <f t="shared" si="20"/>
        <v/>
      </c>
      <c r="Q105" s="32"/>
      <c r="R105" s="33" t="str">
        <f t="shared" si="21"/>
        <v/>
      </c>
      <c r="S105" s="31" t="str">
        <f t="shared" si="22"/>
        <v/>
      </c>
      <c r="T105" s="33"/>
      <c r="U105" s="10"/>
      <c r="V105" s="10"/>
      <c r="W105" s="10"/>
    </row>
    <row r="106" spans="1:23" x14ac:dyDescent="0.35">
      <c r="A106" s="10" t="str">
        <f t="shared" si="17"/>
        <v/>
      </c>
      <c r="B106" s="8"/>
      <c r="C106" s="10" t="str">
        <f t="shared" si="18"/>
        <v/>
      </c>
      <c r="D106" s="10" t="str">
        <f t="shared" si="19"/>
        <v/>
      </c>
      <c r="E106" s="10" t="str">
        <f>IF(B106="","",IF(B106&lt;Config!$B$4,Config!$B$7,Config!$B$8))</f>
        <v/>
      </c>
      <c r="F106" s="10"/>
      <c r="G106" s="10"/>
      <c r="H106" s="10"/>
      <c r="I106" s="10"/>
      <c r="J106" s="10"/>
      <c r="K106" s="10"/>
      <c r="L106" s="10"/>
      <c r="M106" s="31"/>
      <c r="N106" s="32"/>
      <c r="O106" s="32"/>
      <c r="P106" s="33" t="str">
        <f t="shared" si="20"/>
        <v/>
      </c>
      <c r="Q106" s="32"/>
      <c r="R106" s="33" t="str">
        <f t="shared" si="21"/>
        <v/>
      </c>
      <c r="S106" s="31" t="str">
        <f t="shared" si="22"/>
        <v/>
      </c>
      <c r="T106" s="33"/>
      <c r="U106" s="10"/>
      <c r="V106" s="10"/>
      <c r="W106" s="10"/>
    </row>
    <row r="107" spans="1:23" x14ac:dyDescent="0.35">
      <c r="A107" s="10" t="str">
        <f t="shared" si="17"/>
        <v/>
      </c>
      <c r="B107" s="8"/>
      <c r="C107" s="10" t="str">
        <f t="shared" si="18"/>
        <v/>
      </c>
      <c r="D107" s="10" t="str">
        <f t="shared" si="19"/>
        <v/>
      </c>
      <c r="E107" s="10" t="str">
        <f>IF(B107="","",IF(B107&lt;Config!$B$4,Config!$B$7,Config!$B$8))</f>
        <v/>
      </c>
      <c r="F107" s="10"/>
      <c r="G107" s="10"/>
      <c r="H107" s="10"/>
      <c r="I107" s="10"/>
      <c r="J107" s="10"/>
      <c r="K107" s="10"/>
      <c r="L107" s="10"/>
      <c r="M107" s="31"/>
      <c r="N107" s="32"/>
      <c r="O107" s="32"/>
      <c r="P107" s="33" t="str">
        <f t="shared" si="20"/>
        <v/>
      </c>
      <c r="Q107" s="32"/>
      <c r="R107" s="33" t="str">
        <f t="shared" si="21"/>
        <v/>
      </c>
      <c r="S107" s="31" t="str">
        <f t="shared" si="22"/>
        <v/>
      </c>
      <c r="T107" s="33"/>
      <c r="U107" s="10"/>
      <c r="V107" s="10"/>
      <c r="W107" s="10"/>
    </row>
    <row r="108" spans="1:23" x14ac:dyDescent="0.35">
      <c r="A108" s="10" t="str">
        <f t="shared" si="17"/>
        <v/>
      </c>
      <c r="B108" s="8"/>
      <c r="C108" s="10" t="str">
        <f t="shared" si="18"/>
        <v/>
      </c>
      <c r="D108" s="10" t="str">
        <f t="shared" si="19"/>
        <v/>
      </c>
      <c r="E108" s="10" t="str">
        <f>IF(B108="","",IF(B108&lt;Config!$B$4,Config!$B$7,Config!$B$8))</f>
        <v/>
      </c>
      <c r="F108" s="10"/>
      <c r="G108" s="10"/>
      <c r="H108" s="10"/>
      <c r="I108" s="10"/>
      <c r="J108" s="10"/>
      <c r="K108" s="10"/>
      <c r="L108" s="10"/>
      <c r="M108" s="31"/>
      <c r="N108" s="32"/>
      <c r="O108" s="32"/>
      <c r="P108" s="33" t="str">
        <f t="shared" si="20"/>
        <v/>
      </c>
      <c r="Q108" s="32"/>
      <c r="R108" s="33" t="str">
        <f t="shared" si="21"/>
        <v/>
      </c>
      <c r="S108" s="31" t="str">
        <f t="shared" si="22"/>
        <v/>
      </c>
      <c r="T108" s="33"/>
      <c r="U108" s="10"/>
      <c r="V108" s="10"/>
      <c r="W108" s="10"/>
    </row>
    <row r="109" spans="1:23" x14ac:dyDescent="0.35">
      <c r="A109" s="10" t="str">
        <f t="shared" ref="A109:A140" si="23">IF(B109="","",ROW()-1)</f>
        <v/>
      </c>
      <c r="B109" s="8"/>
      <c r="C109" s="10" t="str">
        <f t="shared" si="18"/>
        <v/>
      </c>
      <c r="D109" s="10" t="str">
        <f t="shared" si="19"/>
        <v/>
      </c>
      <c r="E109" s="10" t="str">
        <f>IF(B109="","",IF(B109&lt;Config!$B$4,Config!$B$7,Config!$B$8))</f>
        <v/>
      </c>
      <c r="F109" s="10"/>
      <c r="G109" s="10"/>
      <c r="H109" s="10"/>
      <c r="I109" s="10"/>
      <c r="J109" s="10"/>
      <c r="K109" s="10"/>
      <c r="L109" s="10"/>
      <c r="M109" s="31"/>
      <c r="N109" s="32"/>
      <c r="O109" s="32"/>
      <c r="P109" s="33" t="str">
        <f t="shared" si="20"/>
        <v/>
      </c>
      <c r="Q109" s="32"/>
      <c r="R109" s="33" t="str">
        <f t="shared" si="21"/>
        <v/>
      </c>
      <c r="S109" s="31" t="str">
        <f t="shared" si="22"/>
        <v/>
      </c>
      <c r="T109" s="33"/>
      <c r="U109" s="10"/>
      <c r="V109" s="10"/>
      <c r="W109" s="10"/>
    </row>
    <row r="110" spans="1:23" x14ac:dyDescent="0.35">
      <c r="A110" s="10" t="str">
        <f t="shared" si="23"/>
        <v/>
      </c>
      <c r="B110" s="8"/>
      <c r="C110" s="10" t="str">
        <f t="shared" si="18"/>
        <v/>
      </c>
      <c r="D110" s="10" t="str">
        <f t="shared" si="19"/>
        <v/>
      </c>
      <c r="E110" s="10" t="str">
        <f>IF(B110="","",IF(B110&lt;Config!$B$4,Config!$B$7,Config!$B$8))</f>
        <v/>
      </c>
      <c r="F110" s="10"/>
      <c r="G110" s="10"/>
      <c r="H110" s="10"/>
      <c r="I110" s="10"/>
      <c r="J110" s="10"/>
      <c r="K110" s="10"/>
      <c r="L110" s="10"/>
      <c r="M110" s="31"/>
      <c r="N110" s="32"/>
      <c r="O110" s="32"/>
      <c r="P110" s="33" t="str">
        <f t="shared" si="20"/>
        <v/>
      </c>
      <c r="Q110" s="32"/>
      <c r="R110" s="33" t="str">
        <f t="shared" si="21"/>
        <v/>
      </c>
      <c r="S110" s="31" t="str">
        <f t="shared" si="22"/>
        <v/>
      </c>
      <c r="T110" s="33"/>
      <c r="U110" s="10"/>
      <c r="V110" s="10"/>
      <c r="W110" s="10"/>
    </row>
    <row r="111" spans="1:23" x14ac:dyDescent="0.35">
      <c r="A111" s="10" t="str">
        <f t="shared" si="23"/>
        <v/>
      </c>
      <c r="B111" s="8"/>
      <c r="C111" s="10" t="str">
        <f t="shared" si="18"/>
        <v/>
      </c>
      <c r="D111" s="10" t="str">
        <f t="shared" si="19"/>
        <v/>
      </c>
      <c r="E111" s="10" t="str">
        <f>IF(B111="","",IF(B111&lt;Config!$B$4,Config!$B$7,Config!$B$8))</f>
        <v/>
      </c>
      <c r="F111" s="10"/>
      <c r="G111" s="10"/>
      <c r="H111" s="10"/>
      <c r="I111" s="10"/>
      <c r="J111" s="10"/>
      <c r="K111" s="10"/>
      <c r="L111" s="10"/>
      <c r="M111" s="31"/>
      <c r="N111" s="32"/>
      <c r="O111" s="32"/>
      <c r="P111" s="33" t="str">
        <f t="shared" si="20"/>
        <v/>
      </c>
      <c r="Q111" s="32"/>
      <c r="R111" s="33" t="str">
        <f t="shared" si="21"/>
        <v/>
      </c>
      <c r="S111" s="31" t="str">
        <f t="shared" si="22"/>
        <v/>
      </c>
      <c r="T111" s="33"/>
      <c r="U111" s="10"/>
      <c r="V111" s="10"/>
      <c r="W111" s="10"/>
    </row>
    <row r="112" spans="1:23" x14ac:dyDescent="0.35">
      <c r="A112" s="10" t="str">
        <f t="shared" si="23"/>
        <v/>
      </c>
      <c r="B112" s="8"/>
      <c r="C112" s="10" t="str">
        <f t="shared" si="18"/>
        <v/>
      </c>
      <c r="D112" s="10" t="str">
        <f t="shared" si="19"/>
        <v/>
      </c>
      <c r="E112" s="10" t="str">
        <f>IF(B112="","",IF(B112&lt;Config!$B$4,Config!$B$7,Config!$B$8))</f>
        <v/>
      </c>
      <c r="F112" s="10"/>
      <c r="G112" s="10"/>
      <c r="H112" s="10"/>
      <c r="I112" s="10"/>
      <c r="J112" s="10"/>
      <c r="K112" s="10"/>
      <c r="L112" s="10"/>
      <c r="M112" s="31"/>
      <c r="N112" s="32"/>
      <c r="O112" s="32"/>
      <c r="P112" s="33" t="str">
        <f t="shared" si="20"/>
        <v/>
      </c>
      <c r="Q112" s="32"/>
      <c r="R112" s="33" t="str">
        <f t="shared" si="21"/>
        <v/>
      </c>
      <c r="S112" s="31" t="str">
        <f t="shared" si="22"/>
        <v/>
      </c>
      <c r="T112" s="33"/>
      <c r="U112" s="10"/>
      <c r="V112" s="10"/>
      <c r="W112" s="10"/>
    </row>
    <row r="113" spans="1:23" x14ac:dyDescent="0.35">
      <c r="A113" s="10" t="str">
        <f t="shared" si="23"/>
        <v/>
      </c>
      <c r="B113" s="8"/>
      <c r="C113" s="10" t="str">
        <f t="shared" si="18"/>
        <v/>
      </c>
      <c r="D113" s="10" t="str">
        <f t="shared" si="19"/>
        <v/>
      </c>
      <c r="E113" s="10" t="str">
        <f>IF(B113="","",IF(B113&lt;Config!$B$4,Config!$B$7,Config!$B$8))</f>
        <v/>
      </c>
      <c r="F113" s="10"/>
      <c r="G113" s="10"/>
      <c r="H113" s="10"/>
      <c r="I113" s="10"/>
      <c r="J113" s="10"/>
      <c r="K113" s="10"/>
      <c r="L113" s="10"/>
      <c r="M113" s="31"/>
      <c r="N113" s="32"/>
      <c r="O113" s="32"/>
      <c r="P113" s="33" t="str">
        <f t="shared" si="20"/>
        <v/>
      </c>
      <c r="Q113" s="32"/>
      <c r="R113" s="33" t="str">
        <f t="shared" si="21"/>
        <v/>
      </c>
      <c r="S113" s="31" t="str">
        <f t="shared" si="22"/>
        <v/>
      </c>
      <c r="T113" s="33"/>
      <c r="U113" s="10"/>
      <c r="V113" s="10"/>
      <c r="W113" s="10"/>
    </row>
    <row r="114" spans="1:23" x14ac:dyDescent="0.35">
      <c r="A114" s="10" t="str">
        <f t="shared" si="23"/>
        <v/>
      </c>
      <c r="B114" s="8"/>
      <c r="C114" s="10" t="str">
        <f t="shared" si="18"/>
        <v/>
      </c>
      <c r="D114" s="10" t="str">
        <f t="shared" si="19"/>
        <v/>
      </c>
      <c r="E114" s="10" t="str">
        <f>IF(B114="","",IF(B114&lt;Config!$B$4,Config!$B$7,Config!$B$8))</f>
        <v/>
      </c>
      <c r="F114" s="10"/>
      <c r="G114" s="10"/>
      <c r="H114" s="10"/>
      <c r="I114" s="10"/>
      <c r="J114" s="10"/>
      <c r="K114" s="10"/>
      <c r="L114" s="10"/>
      <c r="M114" s="31"/>
      <c r="N114" s="32"/>
      <c r="O114" s="32"/>
      <c r="P114" s="33" t="str">
        <f t="shared" si="20"/>
        <v/>
      </c>
      <c r="Q114" s="32"/>
      <c r="R114" s="33" t="str">
        <f t="shared" si="21"/>
        <v/>
      </c>
      <c r="S114" s="31" t="str">
        <f t="shared" si="22"/>
        <v/>
      </c>
      <c r="T114" s="33"/>
      <c r="U114" s="10"/>
      <c r="V114" s="10"/>
      <c r="W114" s="10"/>
    </row>
    <row r="115" spans="1:23" x14ac:dyDescent="0.35">
      <c r="A115" s="10" t="str">
        <f t="shared" si="23"/>
        <v/>
      </c>
      <c r="B115" s="8"/>
      <c r="C115" s="10" t="str">
        <f t="shared" si="18"/>
        <v/>
      </c>
      <c r="D115" s="10" t="str">
        <f t="shared" si="19"/>
        <v/>
      </c>
      <c r="E115" s="10" t="str">
        <f>IF(B115="","",IF(B115&lt;Config!$B$4,Config!$B$7,Config!$B$8))</f>
        <v/>
      </c>
      <c r="F115" s="10"/>
      <c r="G115" s="10"/>
      <c r="H115" s="10"/>
      <c r="I115" s="10"/>
      <c r="J115" s="10"/>
      <c r="K115" s="10"/>
      <c r="L115" s="10"/>
      <c r="M115" s="31"/>
      <c r="N115" s="32"/>
      <c r="O115" s="32"/>
      <c r="P115" s="33" t="str">
        <f t="shared" si="20"/>
        <v/>
      </c>
      <c r="Q115" s="32"/>
      <c r="R115" s="33" t="str">
        <f t="shared" si="21"/>
        <v/>
      </c>
      <c r="S115" s="31" t="str">
        <f t="shared" si="22"/>
        <v/>
      </c>
      <c r="T115" s="33"/>
      <c r="U115" s="10"/>
      <c r="V115" s="10"/>
      <c r="W115" s="10"/>
    </row>
    <row r="116" spans="1:23" x14ac:dyDescent="0.35">
      <c r="A116" s="10" t="str">
        <f t="shared" si="23"/>
        <v/>
      </c>
      <c r="B116" s="8"/>
      <c r="C116" s="10" t="str">
        <f t="shared" si="18"/>
        <v/>
      </c>
      <c r="D116" s="10" t="str">
        <f t="shared" si="19"/>
        <v/>
      </c>
      <c r="E116" s="10" t="str">
        <f>IF(B116="","",IF(B116&lt;Config!$B$4,Config!$B$7,Config!$B$8))</f>
        <v/>
      </c>
      <c r="F116" s="10"/>
      <c r="G116" s="10"/>
      <c r="H116" s="10"/>
      <c r="I116" s="10"/>
      <c r="J116" s="10"/>
      <c r="K116" s="10"/>
      <c r="L116" s="10"/>
      <c r="M116" s="31"/>
      <c r="N116" s="32"/>
      <c r="O116" s="32"/>
      <c r="P116" s="33" t="str">
        <f t="shared" si="20"/>
        <v/>
      </c>
      <c r="Q116" s="32"/>
      <c r="R116" s="33" t="str">
        <f t="shared" si="21"/>
        <v/>
      </c>
      <c r="S116" s="31" t="str">
        <f t="shared" si="22"/>
        <v/>
      </c>
      <c r="T116" s="33"/>
      <c r="U116" s="10"/>
      <c r="V116" s="10"/>
      <c r="W116" s="10"/>
    </row>
    <row r="117" spans="1:23" x14ac:dyDescent="0.35">
      <c r="A117" s="10" t="str">
        <f t="shared" si="23"/>
        <v/>
      </c>
      <c r="B117" s="8"/>
      <c r="C117" s="10" t="str">
        <f t="shared" si="18"/>
        <v/>
      </c>
      <c r="D117" s="10" t="str">
        <f t="shared" si="19"/>
        <v/>
      </c>
      <c r="E117" s="10" t="str">
        <f>IF(B117="","",IF(B117&lt;Config!$B$4,Config!$B$7,Config!$B$8))</f>
        <v/>
      </c>
      <c r="F117" s="10"/>
      <c r="G117" s="10"/>
      <c r="H117" s="10"/>
      <c r="I117" s="10"/>
      <c r="J117" s="10"/>
      <c r="K117" s="10"/>
      <c r="L117" s="10"/>
      <c r="M117" s="31"/>
      <c r="N117" s="32"/>
      <c r="O117" s="32"/>
      <c r="P117" s="33" t="str">
        <f t="shared" si="20"/>
        <v/>
      </c>
      <c r="Q117" s="32"/>
      <c r="R117" s="33" t="str">
        <f t="shared" si="21"/>
        <v/>
      </c>
      <c r="S117" s="31" t="str">
        <f t="shared" si="22"/>
        <v/>
      </c>
      <c r="T117" s="33"/>
      <c r="U117" s="10"/>
      <c r="V117" s="10"/>
      <c r="W117" s="10"/>
    </row>
    <row r="118" spans="1:23" x14ac:dyDescent="0.35">
      <c r="A118" s="10" t="str">
        <f t="shared" si="23"/>
        <v/>
      </c>
      <c r="B118" s="8"/>
      <c r="C118" s="10" t="str">
        <f t="shared" si="18"/>
        <v/>
      </c>
      <c r="D118" s="10" t="str">
        <f t="shared" si="19"/>
        <v/>
      </c>
      <c r="E118" s="10" t="str">
        <f>IF(B118="","",IF(B118&lt;Config!$B$4,Config!$B$7,Config!$B$8))</f>
        <v/>
      </c>
      <c r="F118" s="10"/>
      <c r="G118" s="10"/>
      <c r="H118" s="10"/>
      <c r="I118" s="10"/>
      <c r="J118" s="10"/>
      <c r="K118" s="10"/>
      <c r="L118" s="10"/>
      <c r="M118" s="31"/>
      <c r="N118" s="32"/>
      <c r="O118" s="32"/>
      <c r="P118" s="33" t="str">
        <f t="shared" si="20"/>
        <v/>
      </c>
      <c r="Q118" s="32"/>
      <c r="R118" s="33" t="str">
        <f t="shared" si="21"/>
        <v/>
      </c>
      <c r="S118" s="31" t="str">
        <f t="shared" si="22"/>
        <v/>
      </c>
      <c r="T118" s="33"/>
      <c r="U118" s="10"/>
      <c r="V118" s="10"/>
      <c r="W118" s="10"/>
    </row>
    <row r="119" spans="1:23" x14ac:dyDescent="0.35">
      <c r="A119" s="10" t="str">
        <f t="shared" si="23"/>
        <v/>
      </c>
      <c r="B119" s="8"/>
      <c r="C119" s="10" t="str">
        <f t="shared" si="18"/>
        <v/>
      </c>
      <c r="D119" s="10" t="str">
        <f t="shared" si="19"/>
        <v/>
      </c>
      <c r="E119" s="10" t="str">
        <f>IF(B119="","",IF(B119&lt;Config!$B$4,Config!$B$7,Config!$B$8))</f>
        <v/>
      </c>
      <c r="F119" s="10"/>
      <c r="G119" s="10"/>
      <c r="H119" s="10"/>
      <c r="I119" s="10"/>
      <c r="J119" s="10"/>
      <c r="K119" s="10"/>
      <c r="L119" s="10"/>
      <c r="M119" s="31"/>
      <c r="N119" s="32"/>
      <c r="O119" s="32"/>
      <c r="P119" s="33" t="str">
        <f t="shared" si="20"/>
        <v/>
      </c>
      <c r="Q119" s="32"/>
      <c r="R119" s="33" t="str">
        <f t="shared" si="21"/>
        <v/>
      </c>
      <c r="S119" s="31" t="str">
        <f t="shared" si="22"/>
        <v/>
      </c>
      <c r="T119" s="33"/>
      <c r="U119" s="10"/>
      <c r="V119" s="10"/>
      <c r="W119" s="10"/>
    </row>
    <row r="120" spans="1:23" x14ac:dyDescent="0.35">
      <c r="A120" s="10" t="str">
        <f t="shared" si="23"/>
        <v/>
      </c>
      <c r="B120" s="8"/>
      <c r="C120" s="10" t="str">
        <f t="shared" si="18"/>
        <v/>
      </c>
      <c r="D120" s="10" t="str">
        <f t="shared" si="19"/>
        <v/>
      </c>
      <c r="E120" s="10" t="str">
        <f>IF(B120="","",IF(B120&lt;Config!$B$4,Config!$B$7,Config!$B$8))</f>
        <v/>
      </c>
      <c r="F120" s="10"/>
      <c r="G120" s="10"/>
      <c r="H120" s="10"/>
      <c r="I120" s="10"/>
      <c r="J120" s="10"/>
      <c r="K120" s="10"/>
      <c r="L120" s="10"/>
      <c r="M120" s="31"/>
      <c r="N120" s="32"/>
      <c r="O120" s="32"/>
      <c r="P120" s="33" t="str">
        <f t="shared" si="20"/>
        <v/>
      </c>
      <c r="Q120" s="32"/>
      <c r="R120" s="33" t="str">
        <f t="shared" si="21"/>
        <v/>
      </c>
      <c r="S120" s="31" t="str">
        <f t="shared" si="22"/>
        <v/>
      </c>
      <c r="T120" s="33"/>
      <c r="U120" s="10"/>
      <c r="V120" s="10"/>
      <c r="W120" s="10"/>
    </row>
    <row r="121" spans="1:23" x14ac:dyDescent="0.35">
      <c r="A121" s="10" t="str">
        <f t="shared" si="23"/>
        <v/>
      </c>
      <c r="B121" s="8"/>
      <c r="C121" s="10" t="str">
        <f t="shared" si="18"/>
        <v/>
      </c>
      <c r="D121" s="10" t="str">
        <f t="shared" si="19"/>
        <v/>
      </c>
      <c r="E121" s="10" t="str">
        <f>IF(B121="","",IF(B121&lt;Config!$B$4,Config!$B$7,Config!$B$8))</f>
        <v/>
      </c>
      <c r="F121" s="10"/>
      <c r="G121" s="10"/>
      <c r="H121" s="10"/>
      <c r="I121" s="10"/>
      <c r="J121" s="10"/>
      <c r="K121" s="10"/>
      <c r="L121" s="10"/>
      <c r="M121" s="31"/>
      <c r="N121" s="32"/>
      <c r="O121" s="32"/>
      <c r="P121" s="33" t="str">
        <f t="shared" si="20"/>
        <v/>
      </c>
      <c r="Q121" s="32"/>
      <c r="R121" s="33" t="str">
        <f t="shared" si="21"/>
        <v/>
      </c>
      <c r="S121" s="31" t="str">
        <f t="shared" si="22"/>
        <v/>
      </c>
      <c r="T121" s="33"/>
      <c r="U121" s="10"/>
      <c r="V121" s="10"/>
      <c r="W121" s="10"/>
    </row>
    <row r="122" spans="1:23" x14ac:dyDescent="0.35">
      <c r="A122" s="10" t="str">
        <f t="shared" si="23"/>
        <v/>
      </c>
      <c r="B122" s="8"/>
      <c r="C122" s="10" t="str">
        <f t="shared" si="18"/>
        <v/>
      </c>
      <c r="D122" s="10" t="str">
        <f t="shared" si="19"/>
        <v/>
      </c>
      <c r="E122" s="10" t="str">
        <f>IF(B122="","",IF(B122&lt;Config!$B$4,Config!$B$7,Config!$B$8))</f>
        <v/>
      </c>
      <c r="F122" s="10"/>
      <c r="G122" s="10"/>
      <c r="H122" s="10"/>
      <c r="I122" s="10"/>
      <c r="J122" s="10"/>
      <c r="K122" s="10"/>
      <c r="L122" s="10"/>
      <c r="M122" s="31"/>
      <c r="N122" s="32"/>
      <c r="O122" s="32"/>
      <c r="P122" s="33" t="str">
        <f t="shared" si="20"/>
        <v/>
      </c>
      <c r="Q122" s="32"/>
      <c r="R122" s="33" t="str">
        <f t="shared" si="21"/>
        <v/>
      </c>
      <c r="S122" s="31" t="str">
        <f t="shared" si="22"/>
        <v/>
      </c>
      <c r="T122" s="33"/>
      <c r="U122" s="10"/>
      <c r="V122" s="10"/>
      <c r="W122" s="10"/>
    </row>
    <row r="123" spans="1:23" x14ac:dyDescent="0.35">
      <c r="A123" s="10" t="str">
        <f t="shared" si="23"/>
        <v/>
      </c>
      <c r="B123" s="8"/>
      <c r="C123" s="10" t="str">
        <f t="shared" si="18"/>
        <v/>
      </c>
      <c r="D123" s="10" t="str">
        <f t="shared" si="19"/>
        <v/>
      </c>
      <c r="E123" s="10" t="str">
        <f>IF(B123="","",IF(B123&lt;Config!$B$4,Config!$B$7,Config!$B$8))</f>
        <v/>
      </c>
      <c r="F123" s="10"/>
      <c r="G123" s="10"/>
      <c r="H123" s="10"/>
      <c r="I123" s="10"/>
      <c r="J123" s="10"/>
      <c r="K123" s="10"/>
      <c r="L123" s="10"/>
      <c r="M123" s="31"/>
      <c r="N123" s="32"/>
      <c r="O123" s="32"/>
      <c r="P123" s="33" t="str">
        <f t="shared" si="20"/>
        <v/>
      </c>
      <c r="Q123" s="32"/>
      <c r="R123" s="33" t="str">
        <f t="shared" si="21"/>
        <v/>
      </c>
      <c r="S123" s="31" t="str">
        <f t="shared" si="22"/>
        <v/>
      </c>
      <c r="T123" s="33"/>
      <c r="U123" s="10"/>
      <c r="V123" s="10"/>
      <c r="W123" s="10"/>
    </row>
    <row r="124" spans="1:23" x14ac:dyDescent="0.35">
      <c r="A124" s="10" t="str">
        <f t="shared" si="23"/>
        <v/>
      </c>
      <c r="B124" s="8"/>
      <c r="C124" s="10" t="str">
        <f t="shared" si="18"/>
        <v/>
      </c>
      <c r="D124" s="10" t="str">
        <f t="shared" si="19"/>
        <v/>
      </c>
      <c r="E124" s="10" t="str">
        <f>IF(B124="","",IF(B124&lt;Config!$B$4,Config!$B$7,Config!$B$8))</f>
        <v/>
      </c>
      <c r="F124" s="10"/>
      <c r="G124" s="10"/>
      <c r="H124" s="10"/>
      <c r="I124" s="10"/>
      <c r="J124" s="10"/>
      <c r="K124" s="10"/>
      <c r="L124" s="10"/>
      <c r="M124" s="31"/>
      <c r="N124" s="32"/>
      <c r="O124" s="32"/>
      <c r="P124" s="33" t="str">
        <f t="shared" si="20"/>
        <v/>
      </c>
      <c r="Q124" s="32"/>
      <c r="R124" s="33" t="str">
        <f t="shared" si="21"/>
        <v/>
      </c>
      <c r="S124" s="31" t="str">
        <f t="shared" si="22"/>
        <v/>
      </c>
      <c r="T124" s="33"/>
      <c r="U124" s="10"/>
      <c r="V124" s="10"/>
      <c r="W124" s="10"/>
    </row>
    <row r="125" spans="1:23" x14ac:dyDescent="0.35">
      <c r="A125" s="10" t="str">
        <f t="shared" si="23"/>
        <v/>
      </c>
      <c r="B125" s="8"/>
      <c r="C125" s="10" t="str">
        <f t="shared" si="18"/>
        <v/>
      </c>
      <c r="D125" s="10" t="str">
        <f t="shared" si="19"/>
        <v/>
      </c>
      <c r="E125" s="10" t="str">
        <f>IF(B125="","",IF(B125&lt;Config!$B$4,Config!$B$7,Config!$B$8))</f>
        <v/>
      </c>
      <c r="F125" s="10"/>
      <c r="G125" s="10"/>
      <c r="H125" s="10"/>
      <c r="I125" s="10"/>
      <c r="J125" s="10"/>
      <c r="K125" s="10"/>
      <c r="L125" s="10"/>
      <c r="M125" s="31"/>
      <c r="N125" s="32"/>
      <c r="O125" s="32"/>
      <c r="P125" s="33" t="str">
        <f t="shared" si="20"/>
        <v/>
      </c>
      <c r="Q125" s="32"/>
      <c r="R125" s="33" t="str">
        <f t="shared" si="21"/>
        <v/>
      </c>
      <c r="S125" s="31" t="str">
        <f t="shared" si="22"/>
        <v/>
      </c>
      <c r="T125" s="33"/>
      <c r="U125" s="10"/>
      <c r="V125" s="10"/>
      <c r="W125" s="10"/>
    </row>
    <row r="126" spans="1:23" x14ac:dyDescent="0.35">
      <c r="A126" s="10" t="str">
        <f t="shared" si="23"/>
        <v/>
      </c>
      <c r="B126" s="8"/>
      <c r="C126" s="10" t="str">
        <f t="shared" si="18"/>
        <v/>
      </c>
      <c r="D126" s="10" t="str">
        <f t="shared" si="19"/>
        <v/>
      </c>
      <c r="E126" s="10" t="str">
        <f>IF(B126="","",IF(B126&lt;Config!$B$4,Config!$B$7,Config!$B$8))</f>
        <v/>
      </c>
      <c r="F126" s="10"/>
      <c r="G126" s="10"/>
      <c r="H126" s="10"/>
      <c r="I126" s="10"/>
      <c r="J126" s="10"/>
      <c r="K126" s="10"/>
      <c r="L126" s="10"/>
      <c r="M126" s="31"/>
      <c r="N126" s="32"/>
      <c r="O126" s="32"/>
      <c r="P126" s="33" t="str">
        <f t="shared" si="20"/>
        <v/>
      </c>
      <c r="Q126" s="32"/>
      <c r="R126" s="33" t="str">
        <f t="shared" si="21"/>
        <v/>
      </c>
      <c r="S126" s="31" t="str">
        <f t="shared" si="22"/>
        <v/>
      </c>
      <c r="T126" s="33"/>
      <c r="U126" s="10"/>
      <c r="V126" s="10"/>
      <c r="W126" s="10"/>
    </row>
    <row r="127" spans="1:23" x14ac:dyDescent="0.35">
      <c r="A127" s="10" t="str">
        <f t="shared" si="23"/>
        <v/>
      </c>
      <c r="B127" s="8"/>
      <c r="C127" s="10" t="str">
        <f t="shared" si="18"/>
        <v/>
      </c>
      <c r="D127" s="10" t="str">
        <f t="shared" si="19"/>
        <v/>
      </c>
      <c r="E127" s="10" t="str">
        <f>IF(B127="","",IF(B127&lt;Config!$B$4,Config!$B$7,Config!$B$8))</f>
        <v/>
      </c>
      <c r="F127" s="10"/>
      <c r="G127" s="10"/>
      <c r="H127" s="10"/>
      <c r="I127" s="10"/>
      <c r="J127" s="10"/>
      <c r="K127" s="10"/>
      <c r="L127" s="10"/>
      <c r="M127" s="31"/>
      <c r="N127" s="32"/>
      <c r="O127" s="32"/>
      <c r="P127" s="33" t="str">
        <f t="shared" si="20"/>
        <v/>
      </c>
      <c r="Q127" s="32"/>
      <c r="R127" s="33" t="str">
        <f t="shared" si="21"/>
        <v/>
      </c>
      <c r="S127" s="31" t="str">
        <f t="shared" si="22"/>
        <v/>
      </c>
      <c r="T127" s="33"/>
      <c r="U127" s="10"/>
      <c r="V127" s="10"/>
      <c r="W127" s="10"/>
    </row>
    <row r="128" spans="1:23" x14ac:dyDescent="0.35">
      <c r="A128" s="10" t="str">
        <f t="shared" si="23"/>
        <v/>
      </c>
      <c r="B128" s="8"/>
      <c r="C128" s="10" t="str">
        <f t="shared" si="18"/>
        <v/>
      </c>
      <c r="D128" s="10" t="str">
        <f t="shared" si="19"/>
        <v/>
      </c>
      <c r="E128" s="10" t="str">
        <f>IF(B128="","",IF(B128&lt;Config!$B$4,Config!$B$7,Config!$B$8))</f>
        <v/>
      </c>
      <c r="F128" s="10"/>
      <c r="G128" s="10"/>
      <c r="H128" s="10"/>
      <c r="I128" s="10"/>
      <c r="J128" s="10"/>
      <c r="K128" s="10"/>
      <c r="L128" s="10"/>
      <c r="M128" s="31"/>
      <c r="N128" s="32"/>
      <c r="O128" s="32"/>
      <c r="P128" s="33" t="str">
        <f t="shared" si="20"/>
        <v/>
      </c>
      <c r="Q128" s="32"/>
      <c r="R128" s="33" t="str">
        <f t="shared" si="21"/>
        <v/>
      </c>
      <c r="S128" s="31" t="str">
        <f t="shared" si="22"/>
        <v/>
      </c>
      <c r="T128" s="33"/>
      <c r="U128" s="10"/>
      <c r="V128" s="10"/>
      <c r="W128" s="10"/>
    </row>
    <row r="129" spans="1:23" x14ac:dyDescent="0.35">
      <c r="A129" s="10" t="str">
        <f t="shared" si="23"/>
        <v/>
      </c>
      <c r="B129" s="8"/>
      <c r="C129" s="10" t="str">
        <f t="shared" si="18"/>
        <v/>
      </c>
      <c r="D129" s="10" t="str">
        <f t="shared" si="19"/>
        <v/>
      </c>
      <c r="E129" s="10" t="str">
        <f>IF(B129="","",IF(B129&lt;Config!$B$4,Config!$B$7,Config!$B$8))</f>
        <v/>
      </c>
      <c r="F129" s="10"/>
      <c r="G129" s="10"/>
      <c r="H129" s="10"/>
      <c r="I129" s="10"/>
      <c r="J129" s="10"/>
      <c r="K129" s="10"/>
      <c r="L129" s="10"/>
      <c r="M129" s="31"/>
      <c r="N129" s="32"/>
      <c r="O129" s="32"/>
      <c r="P129" s="33" t="str">
        <f t="shared" si="20"/>
        <v/>
      </c>
      <c r="Q129" s="32"/>
      <c r="R129" s="33" t="str">
        <f t="shared" si="21"/>
        <v/>
      </c>
      <c r="S129" s="31" t="str">
        <f t="shared" si="22"/>
        <v/>
      </c>
      <c r="T129" s="33"/>
      <c r="U129" s="10"/>
      <c r="V129" s="10"/>
      <c r="W129" s="10"/>
    </row>
    <row r="130" spans="1:23" x14ac:dyDescent="0.35">
      <c r="A130" s="10" t="str">
        <f t="shared" si="23"/>
        <v/>
      </c>
      <c r="B130" s="8"/>
      <c r="C130" s="10" t="str">
        <f t="shared" ref="C130:C161" si="24">IF(B130="","",TEXT(B130,"YYYY-MM"))</f>
        <v/>
      </c>
      <c r="D130" s="10" t="str">
        <f t="shared" ref="D130:D161" si="25">IF(B130="","",TEXT(B130,"MMM YYYY"))</f>
        <v/>
      </c>
      <c r="E130" s="10" t="str">
        <f>IF(B130="","",IF(B130&lt;Config!$B$4,Config!$B$7,Config!$B$8))</f>
        <v/>
      </c>
      <c r="F130" s="10"/>
      <c r="G130" s="10"/>
      <c r="H130" s="10"/>
      <c r="I130" s="10"/>
      <c r="J130" s="10"/>
      <c r="K130" s="10"/>
      <c r="L130" s="10"/>
      <c r="M130" s="31"/>
      <c r="N130" s="32"/>
      <c r="O130" s="32"/>
      <c r="P130" s="33" t="str">
        <f t="shared" ref="P130:P161" si="26">IF(OR(N130="",O130=""),"",IF(N130=0,"",O130/N130*100))</f>
        <v/>
      </c>
      <c r="Q130" s="32"/>
      <c r="R130" s="33" t="str">
        <f t="shared" ref="R130:R161" si="27">IF(OR(O130="",Q130=""),"",IF(O130=0,"",Q130/O130*100))</f>
        <v/>
      </c>
      <c r="S130" s="31" t="str">
        <f t="shared" ref="S130:S161" si="28">IF(OR(M130="",Q130=""),"",IF(Q130=0,"",M130/Q130))</f>
        <v/>
      </c>
      <c r="T130" s="33"/>
      <c r="U130" s="10"/>
      <c r="V130" s="10"/>
      <c r="W130" s="10"/>
    </row>
    <row r="131" spans="1:23" x14ac:dyDescent="0.35">
      <c r="A131" s="10" t="str">
        <f t="shared" si="23"/>
        <v/>
      </c>
      <c r="B131" s="8"/>
      <c r="C131" s="10" t="str">
        <f t="shared" si="24"/>
        <v/>
      </c>
      <c r="D131" s="10" t="str">
        <f t="shared" si="25"/>
        <v/>
      </c>
      <c r="E131" s="10" t="str">
        <f>IF(B131="","",IF(B131&lt;Config!$B$4,Config!$B$7,Config!$B$8))</f>
        <v/>
      </c>
      <c r="F131" s="10"/>
      <c r="G131" s="10"/>
      <c r="H131" s="10"/>
      <c r="I131" s="10"/>
      <c r="J131" s="10"/>
      <c r="K131" s="10"/>
      <c r="L131" s="10"/>
      <c r="M131" s="31"/>
      <c r="N131" s="32"/>
      <c r="O131" s="32"/>
      <c r="P131" s="33" t="str">
        <f t="shared" si="26"/>
        <v/>
      </c>
      <c r="Q131" s="32"/>
      <c r="R131" s="33" t="str">
        <f t="shared" si="27"/>
        <v/>
      </c>
      <c r="S131" s="31" t="str">
        <f t="shared" si="28"/>
        <v/>
      </c>
      <c r="T131" s="33"/>
      <c r="U131" s="10"/>
      <c r="V131" s="10"/>
      <c r="W131" s="10"/>
    </row>
    <row r="132" spans="1:23" x14ac:dyDescent="0.35">
      <c r="A132" s="10" t="str">
        <f t="shared" si="23"/>
        <v/>
      </c>
      <c r="B132" s="8"/>
      <c r="C132" s="10" t="str">
        <f t="shared" si="24"/>
        <v/>
      </c>
      <c r="D132" s="10" t="str">
        <f t="shared" si="25"/>
        <v/>
      </c>
      <c r="E132" s="10" t="str">
        <f>IF(B132="","",IF(B132&lt;Config!$B$4,Config!$B$7,Config!$B$8))</f>
        <v/>
      </c>
      <c r="F132" s="10"/>
      <c r="G132" s="10"/>
      <c r="H132" s="10"/>
      <c r="I132" s="10"/>
      <c r="J132" s="10"/>
      <c r="K132" s="10"/>
      <c r="L132" s="10"/>
      <c r="M132" s="31"/>
      <c r="N132" s="32"/>
      <c r="O132" s="32"/>
      <c r="P132" s="33" t="str">
        <f t="shared" si="26"/>
        <v/>
      </c>
      <c r="Q132" s="32"/>
      <c r="R132" s="33" t="str">
        <f t="shared" si="27"/>
        <v/>
      </c>
      <c r="S132" s="31" t="str">
        <f t="shared" si="28"/>
        <v/>
      </c>
      <c r="T132" s="33"/>
      <c r="U132" s="10"/>
      <c r="V132" s="10"/>
      <c r="W132" s="10"/>
    </row>
    <row r="133" spans="1:23" x14ac:dyDescent="0.35">
      <c r="A133" s="10" t="str">
        <f t="shared" si="23"/>
        <v/>
      </c>
      <c r="B133" s="8"/>
      <c r="C133" s="10" t="str">
        <f t="shared" si="24"/>
        <v/>
      </c>
      <c r="D133" s="10" t="str">
        <f t="shared" si="25"/>
        <v/>
      </c>
      <c r="E133" s="10" t="str">
        <f>IF(B133="","",IF(B133&lt;Config!$B$4,Config!$B$7,Config!$B$8))</f>
        <v/>
      </c>
      <c r="F133" s="10"/>
      <c r="G133" s="10"/>
      <c r="H133" s="10"/>
      <c r="I133" s="10"/>
      <c r="J133" s="10"/>
      <c r="K133" s="10"/>
      <c r="L133" s="10"/>
      <c r="M133" s="31"/>
      <c r="N133" s="32"/>
      <c r="O133" s="32"/>
      <c r="P133" s="33" t="str">
        <f t="shared" si="26"/>
        <v/>
      </c>
      <c r="Q133" s="32"/>
      <c r="R133" s="33" t="str">
        <f t="shared" si="27"/>
        <v/>
      </c>
      <c r="S133" s="31" t="str">
        <f t="shared" si="28"/>
        <v/>
      </c>
      <c r="T133" s="33"/>
      <c r="U133" s="10"/>
      <c r="V133" s="10"/>
      <c r="W133" s="10"/>
    </row>
    <row r="134" spans="1:23" x14ac:dyDescent="0.35">
      <c r="A134" s="10" t="str">
        <f t="shared" si="23"/>
        <v/>
      </c>
      <c r="B134" s="8"/>
      <c r="C134" s="10" t="str">
        <f t="shared" si="24"/>
        <v/>
      </c>
      <c r="D134" s="10" t="str">
        <f t="shared" si="25"/>
        <v/>
      </c>
      <c r="E134" s="10" t="str">
        <f>IF(B134="","",IF(B134&lt;Config!$B$4,Config!$B$7,Config!$B$8))</f>
        <v/>
      </c>
      <c r="F134" s="10"/>
      <c r="G134" s="10"/>
      <c r="H134" s="10"/>
      <c r="I134" s="10"/>
      <c r="J134" s="10"/>
      <c r="K134" s="10"/>
      <c r="L134" s="10"/>
      <c r="M134" s="31"/>
      <c r="N134" s="32"/>
      <c r="O134" s="32"/>
      <c r="P134" s="33" t="str">
        <f t="shared" si="26"/>
        <v/>
      </c>
      <c r="Q134" s="32"/>
      <c r="R134" s="33" t="str">
        <f t="shared" si="27"/>
        <v/>
      </c>
      <c r="S134" s="31" t="str">
        <f t="shared" si="28"/>
        <v/>
      </c>
      <c r="T134" s="33"/>
      <c r="U134" s="10"/>
      <c r="V134" s="10"/>
      <c r="W134" s="10"/>
    </row>
    <row r="135" spans="1:23" x14ac:dyDescent="0.35">
      <c r="A135" s="10" t="str">
        <f t="shared" si="23"/>
        <v/>
      </c>
      <c r="B135" s="8"/>
      <c r="C135" s="10" t="str">
        <f t="shared" si="24"/>
        <v/>
      </c>
      <c r="D135" s="10" t="str">
        <f t="shared" si="25"/>
        <v/>
      </c>
      <c r="E135" s="10" t="str">
        <f>IF(B135="","",IF(B135&lt;Config!$B$4,Config!$B$7,Config!$B$8))</f>
        <v/>
      </c>
      <c r="F135" s="10"/>
      <c r="G135" s="10"/>
      <c r="H135" s="10"/>
      <c r="I135" s="10"/>
      <c r="J135" s="10"/>
      <c r="K135" s="10"/>
      <c r="L135" s="10"/>
      <c r="M135" s="31"/>
      <c r="N135" s="32"/>
      <c r="O135" s="32"/>
      <c r="P135" s="33" t="str">
        <f t="shared" si="26"/>
        <v/>
      </c>
      <c r="Q135" s="32"/>
      <c r="R135" s="33" t="str">
        <f t="shared" si="27"/>
        <v/>
      </c>
      <c r="S135" s="31" t="str">
        <f t="shared" si="28"/>
        <v/>
      </c>
      <c r="T135" s="33"/>
      <c r="U135" s="10"/>
      <c r="V135" s="10"/>
      <c r="W135" s="10"/>
    </row>
    <row r="136" spans="1:23" x14ac:dyDescent="0.35">
      <c r="A136" s="10" t="str">
        <f t="shared" si="23"/>
        <v/>
      </c>
      <c r="B136" s="8"/>
      <c r="C136" s="10" t="str">
        <f t="shared" si="24"/>
        <v/>
      </c>
      <c r="D136" s="10" t="str">
        <f t="shared" si="25"/>
        <v/>
      </c>
      <c r="E136" s="10" t="str">
        <f>IF(B136="","",IF(B136&lt;Config!$B$4,Config!$B$7,Config!$B$8))</f>
        <v/>
      </c>
      <c r="F136" s="10"/>
      <c r="G136" s="10"/>
      <c r="H136" s="10"/>
      <c r="I136" s="10"/>
      <c r="J136" s="10"/>
      <c r="K136" s="10"/>
      <c r="L136" s="10"/>
      <c r="M136" s="31"/>
      <c r="N136" s="32"/>
      <c r="O136" s="32"/>
      <c r="P136" s="33" t="str">
        <f t="shared" si="26"/>
        <v/>
      </c>
      <c r="Q136" s="32"/>
      <c r="R136" s="33" t="str">
        <f t="shared" si="27"/>
        <v/>
      </c>
      <c r="S136" s="31" t="str">
        <f t="shared" si="28"/>
        <v/>
      </c>
      <c r="T136" s="33"/>
      <c r="U136" s="10"/>
      <c r="V136" s="10"/>
      <c r="W136" s="10"/>
    </row>
    <row r="137" spans="1:23" x14ac:dyDescent="0.35">
      <c r="A137" s="10" t="str">
        <f t="shared" si="23"/>
        <v/>
      </c>
      <c r="B137" s="8"/>
      <c r="C137" s="10" t="str">
        <f t="shared" si="24"/>
        <v/>
      </c>
      <c r="D137" s="10" t="str">
        <f t="shared" si="25"/>
        <v/>
      </c>
      <c r="E137" s="10" t="str">
        <f>IF(B137="","",IF(B137&lt;Config!$B$4,Config!$B$7,Config!$B$8))</f>
        <v/>
      </c>
      <c r="F137" s="10"/>
      <c r="G137" s="10"/>
      <c r="H137" s="10"/>
      <c r="I137" s="10"/>
      <c r="J137" s="10"/>
      <c r="K137" s="10"/>
      <c r="L137" s="10"/>
      <c r="M137" s="31"/>
      <c r="N137" s="32"/>
      <c r="O137" s="32"/>
      <c r="P137" s="33" t="str">
        <f t="shared" si="26"/>
        <v/>
      </c>
      <c r="Q137" s="32"/>
      <c r="R137" s="33" t="str">
        <f t="shared" si="27"/>
        <v/>
      </c>
      <c r="S137" s="31" t="str">
        <f t="shared" si="28"/>
        <v/>
      </c>
      <c r="T137" s="33"/>
      <c r="U137" s="10"/>
      <c r="V137" s="10"/>
      <c r="W137" s="10"/>
    </row>
    <row r="138" spans="1:23" x14ac:dyDescent="0.35">
      <c r="A138" s="10" t="str">
        <f t="shared" si="23"/>
        <v/>
      </c>
      <c r="B138" s="8"/>
      <c r="C138" s="10" t="str">
        <f t="shared" si="24"/>
        <v/>
      </c>
      <c r="D138" s="10" t="str">
        <f t="shared" si="25"/>
        <v/>
      </c>
      <c r="E138" s="10" t="str">
        <f>IF(B138="","",IF(B138&lt;Config!$B$4,Config!$B$7,Config!$B$8))</f>
        <v/>
      </c>
      <c r="F138" s="10"/>
      <c r="G138" s="10"/>
      <c r="H138" s="10"/>
      <c r="I138" s="10"/>
      <c r="J138" s="10"/>
      <c r="K138" s="10"/>
      <c r="L138" s="10"/>
      <c r="M138" s="31"/>
      <c r="N138" s="32"/>
      <c r="O138" s="32"/>
      <c r="P138" s="33" t="str">
        <f t="shared" si="26"/>
        <v/>
      </c>
      <c r="Q138" s="32"/>
      <c r="R138" s="33" t="str">
        <f t="shared" si="27"/>
        <v/>
      </c>
      <c r="S138" s="31" t="str">
        <f t="shared" si="28"/>
        <v/>
      </c>
      <c r="T138" s="33"/>
      <c r="U138" s="10"/>
      <c r="V138" s="10"/>
      <c r="W138" s="10"/>
    </row>
    <row r="139" spans="1:23" x14ac:dyDescent="0.35">
      <c r="A139" s="10" t="str">
        <f t="shared" si="23"/>
        <v/>
      </c>
      <c r="B139" s="8"/>
      <c r="C139" s="10" t="str">
        <f t="shared" si="24"/>
        <v/>
      </c>
      <c r="D139" s="10" t="str">
        <f t="shared" si="25"/>
        <v/>
      </c>
      <c r="E139" s="10" t="str">
        <f>IF(B139="","",IF(B139&lt;Config!$B$4,Config!$B$7,Config!$B$8))</f>
        <v/>
      </c>
      <c r="F139" s="10"/>
      <c r="G139" s="10"/>
      <c r="H139" s="10"/>
      <c r="I139" s="10"/>
      <c r="J139" s="10"/>
      <c r="K139" s="10"/>
      <c r="L139" s="10"/>
      <c r="M139" s="31"/>
      <c r="N139" s="32"/>
      <c r="O139" s="32"/>
      <c r="P139" s="33" t="str">
        <f t="shared" si="26"/>
        <v/>
      </c>
      <c r="Q139" s="32"/>
      <c r="R139" s="33" t="str">
        <f t="shared" si="27"/>
        <v/>
      </c>
      <c r="S139" s="31" t="str">
        <f t="shared" si="28"/>
        <v/>
      </c>
      <c r="T139" s="33"/>
      <c r="U139" s="10"/>
      <c r="V139" s="10"/>
      <c r="W139" s="10"/>
    </row>
    <row r="140" spans="1:23" x14ac:dyDescent="0.35">
      <c r="A140" s="10" t="str">
        <f t="shared" si="23"/>
        <v/>
      </c>
      <c r="B140" s="8"/>
      <c r="C140" s="10" t="str">
        <f t="shared" si="24"/>
        <v/>
      </c>
      <c r="D140" s="10" t="str">
        <f t="shared" si="25"/>
        <v/>
      </c>
      <c r="E140" s="10" t="str">
        <f>IF(B140="","",IF(B140&lt;Config!$B$4,Config!$B$7,Config!$B$8))</f>
        <v/>
      </c>
      <c r="F140" s="10"/>
      <c r="G140" s="10"/>
      <c r="H140" s="10"/>
      <c r="I140" s="10"/>
      <c r="J140" s="10"/>
      <c r="K140" s="10"/>
      <c r="L140" s="10"/>
      <c r="M140" s="31"/>
      <c r="N140" s="32"/>
      <c r="O140" s="32"/>
      <c r="P140" s="33" t="str">
        <f t="shared" si="26"/>
        <v/>
      </c>
      <c r="Q140" s="32"/>
      <c r="R140" s="33" t="str">
        <f t="shared" si="27"/>
        <v/>
      </c>
      <c r="S140" s="31" t="str">
        <f t="shared" si="28"/>
        <v/>
      </c>
      <c r="T140" s="33"/>
      <c r="U140" s="10"/>
      <c r="V140" s="10"/>
      <c r="W140" s="10"/>
    </row>
    <row r="141" spans="1:23" x14ac:dyDescent="0.35">
      <c r="A141" s="10" t="str">
        <f t="shared" ref="A141:A172" si="29">IF(B141="","",ROW()-1)</f>
        <v/>
      </c>
      <c r="B141" s="8"/>
      <c r="C141" s="10" t="str">
        <f t="shared" si="24"/>
        <v/>
      </c>
      <c r="D141" s="10" t="str">
        <f t="shared" si="25"/>
        <v/>
      </c>
      <c r="E141" s="10" t="str">
        <f>IF(B141="","",IF(B141&lt;Config!$B$4,Config!$B$7,Config!$B$8))</f>
        <v/>
      </c>
      <c r="F141" s="10"/>
      <c r="G141" s="10"/>
      <c r="H141" s="10"/>
      <c r="I141" s="10"/>
      <c r="J141" s="10"/>
      <c r="K141" s="10"/>
      <c r="L141" s="10"/>
      <c r="M141" s="31"/>
      <c r="N141" s="32"/>
      <c r="O141" s="32"/>
      <c r="P141" s="33" t="str">
        <f t="shared" si="26"/>
        <v/>
      </c>
      <c r="Q141" s="32"/>
      <c r="R141" s="33" t="str">
        <f t="shared" si="27"/>
        <v/>
      </c>
      <c r="S141" s="31" t="str">
        <f t="shared" si="28"/>
        <v/>
      </c>
      <c r="T141" s="33"/>
      <c r="U141" s="10"/>
      <c r="V141" s="10"/>
      <c r="W141" s="10"/>
    </row>
    <row r="142" spans="1:23" x14ac:dyDescent="0.35">
      <c r="A142" s="10" t="str">
        <f t="shared" si="29"/>
        <v/>
      </c>
      <c r="B142" s="8"/>
      <c r="C142" s="10" t="str">
        <f t="shared" si="24"/>
        <v/>
      </c>
      <c r="D142" s="10" t="str">
        <f t="shared" si="25"/>
        <v/>
      </c>
      <c r="E142" s="10" t="str">
        <f>IF(B142="","",IF(B142&lt;Config!$B$4,Config!$B$7,Config!$B$8))</f>
        <v/>
      </c>
      <c r="F142" s="10"/>
      <c r="G142" s="10"/>
      <c r="H142" s="10"/>
      <c r="I142" s="10"/>
      <c r="J142" s="10"/>
      <c r="K142" s="10"/>
      <c r="L142" s="10"/>
      <c r="M142" s="31"/>
      <c r="N142" s="32"/>
      <c r="O142" s="32"/>
      <c r="P142" s="33" t="str">
        <f t="shared" si="26"/>
        <v/>
      </c>
      <c r="Q142" s="32"/>
      <c r="R142" s="33" t="str">
        <f t="shared" si="27"/>
        <v/>
      </c>
      <c r="S142" s="31" t="str">
        <f t="shared" si="28"/>
        <v/>
      </c>
      <c r="T142" s="33"/>
      <c r="U142" s="10"/>
      <c r="V142" s="10"/>
      <c r="W142" s="10"/>
    </row>
    <row r="143" spans="1:23" x14ac:dyDescent="0.35">
      <c r="A143" s="10" t="str">
        <f t="shared" si="29"/>
        <v/>
      </c>
      <c r="B143" s="8"/>
      <c r="C143" s="10" t="str">
        <f t="shared" si="24"/>
        <v/>
      </c>
      <c r="D143" s="10" t="str">
        <f t="shared" si="25"/>
        <v/>
      </c>
      <c r="E143" s="10" t="str">
        <f>IF(B143="","",IF(B143&lt;Config!$B$4,Config!$B$7,Config!$B$8))</f>
        <v/>
      </c>
      <c r="F143" s="10"/>
      <c r="G143" s="10"/>
      <c r="H143" s="10"/>
      <c r="I143" s="10"/>
      <c r="J143" s="10"/>
      <c r="K143" s="10"/>
      <c r="L143" s="10"/>
      <c r="M143" s="31"/>
      <c r="N143" s="32"/>
      <c r="O143" s="32"/>
      <c r="P143" s="33" t="str">
        <f t="shared" si="26"/>
        <v/>
      </c>
      <c r="Q143" s="32"/>
      <c r="R143" s="33" t="str">
        <f t="shared" si="27"/>
        <v/>
      </c>
      <c r="S143" s="31" t="str">
        <f t="shared" si="28"/>
        <v/>
      </c>
      <c r="T143" s="33"/>
      <c r="U143" s="10"/>
      <c r="V143" s="10"/>
      <c r="W143" s="10"/>
    </row>
    <row r="144" spans="1:23" x14ac:dyDescent="0.35">
      <c r="A144" s="10" t="str">
        <f t="shared" si="29"/>
        <v/>
      </c>
      <c r="B144" s="8"/>
      <c r="C144" s="10" t="str">
        <f t="shared" si="24"/>
        <v/>
      </c>
      <c r="D144" s="10" t="str">
        <f t="shared" si="25"/>
        <v/>
      </c>
      <c r="E144" s="10" t="str">
        <f>IF(B144="","",IF(B144&lt;Config!$B$4,Config!$B$7,Config!$B$8))</f>
        <v/>
      </c>
      <c r="F144" s="10"/>
      <c r="G144" s="10"/>
      <c r="H144" s="10"/>
      <c r="I144" s="10"/>
      <c r="J144" s="10"/>
      <c r="K144" s="10"/>
      <c r="L144" s="10"/>
      <c r="M144" s="31"/>
      <c r="N144" s="32"/>
      <c r="O144" s="32"/>
      <c r="P144" s="33" t="str">
        <f t="shared" si="26"/>
        <v/>
      </c>
      <c r="Q144" s="32"/>
      <c r="R144" s="33" t="str">
        <f t="shared" si="27"/>
        <v/>
      </c>
      <c r="S144" s="31" t="str">
        <f t="shared" si="28"/>
        <v/>
      </c>
      <c r="T144" s="33"/>
      <c r="U144" s="10"/>
      <c r="V144" s="10"/>
      <c r="W144" s="10"/>
    </row>
    <row r="145" spans="1:23" x14ac:dyDescent="0.35">
      <c r="A145" s="10" t="str">
        <f t="shared" si="29"/>
        <v/>
      </c>
      <c r="B145" s="8"/>
      <c r="C145" s="10" t="str">
        <f t="shared" si="24"/>
        <v/>
      </c>
      <c r="D145" s="10" t="str">
        <f t="shared" si="25"/>
        <v/>
      </c>
      <c r="E145" s="10" t="str">
        <f>IF(B145="","",IF(B145&lt;Config!$B$4,Config!$B$7,Config!$B$8))</f>
        <v/>
      </c>
      <c r="F145" s="10"/>
      <c r="G145" s="10"/>
      <c r="H145" s="10"/>
      <c r="I145" s="10"/>
      <c r="J145" s="10"/>
      <c r="K145" s="10"/>
      <c r="L145" s="10"/>
      <c r="M145" s="31"/>
      <c r="N145" s="32"/>
      <c r="O145" s="32"/>
      <c r="P145" s="33" t="str">
        <f t="shared" si="26"/>
        <v/>
      </c>
      <c r="Q145" s="32"/>
      <c r="R145" s="33" t="str">
        <f t="shared" si="27"/>
        <v/>
      </c>
      <c r="S145" s="31" t="str">
        <f t="shared" si="28"/>
        <v/>
      </c>
      <c r="T145" s="33"/>
      <c r="U145" s="10"/>
      <c r="V145" s="10"/>
      <c r="W145" s="10"/>
    </row>
    <row r="146" spans="1:23" x14ac:dyDescent="0.35">
      <c r="A146" s="10" t="str">
        <f t="shared" si="29"/>
        <v/>
      </c>
      <c r="B146" s="8"/>
      <c r="C146" s="10" t="str">
        <f t="shared" si="24"/>
        <v/>
      </c>
      <c r="D146" s="10" t="str">
        <f t="shared" si="25"/>
        <v/>
      </c>
      <c r="E146" s="10" t="str">
        <f>IF(B146="","",IF(B146&lt;Config!$B$4,Config!$B$7,Config!$B$8))</f>
        <v/>
      </c>
      <c r="F146" s="10"/>
      <c r="G146" s="10"/>
      <c r="H146" s="10"/>
      <c r="I146" s="10"/>
      <c r="J146" s="10"/>
      <c r="K146" s="10"/>
      <c r="L146" s="10"/>
      <c r="M146" s="31"/>
      <c r="N146" s="32"/>
      <c r="O146" s="32"/>
      <c r="P146" s="33" t="str">
        <f t="shared" si="26"/>
        <v/>
      </c>
      <c r="Q146" s="32"/>
      <c r="R146" s="33" t="str">
        <f t="shared" si="27"/>
        <v/>
      </c>
      <c r="S146" s="31" t="str">
        <f t="shared" si="28"/>
        <v/>
      </c>
      <c r="T146" s="33"/>
      <c r="U146" s="10"/>
      <c r="V146" s="10"/>
      <c r="W146" s="10"/>
    </row>
    <row r="147" spans="1:23" x14ac:dyDescent="0.35">
      <c r="A147" s="10" t="str">
        <f t="shared" si="29"/>
        <v/>
      </c>
      <c r="B147" s="8"/>
      <c r="C147" s="10" t="str">
        <f t="shared" si="24"/>
        <v/>
      </c>
      <c r="D147" s="10" t="str">
        <f t="shared" si="25"/>
        <v/>
      </c>
      <c r="E147" s="10" t="str">
        <f>IF(B147="","",IF(B147&lt;Config!$B$4,Config!$B$7,Config!$B$8))</f>
        <v/>
      </c>
      <c r="F147" s="10"/>
      <c r="G147" s="10"/>
      <c r="H147" s="10"/>
      <c r="I147" s="10"/>
      <c r="J147" s="10"/>
      <c r="K147" s="10"/>
      <c r="L147" s="10"/>
      <c r="M147" s="31"/>
      <c r="N147" s="32"/>
      <c r="O147" s="32"/>
      <c r="P147" s="33" t="str">
        <f t="shared" si="26"/>
        <v/>
      </c>
      <c r="Q147" s="32"/>
      <c r="R147" s="33" t="str">
        <f t="shared" si="27"/>
        <v/>
      </c>
      <c r="S147" s="31" t="str">
        <f t="shared" si="28"/>
        <v/>
      </c>
      <c r="T147" s="33"/>
      <c r="U147" s="10"/>
      <c r="V147" s="10"/>
      <c r="W147" s="10"/>
    </row>
    <row r="148" spans="1:23" x14ac:dyDescent="0.35">
      <c r="A148" s="10" t="str">
        <f t="shared" si="29"/>
        <v/>
      </c>
      <c r="B148" s="8"/>
      <c r="C148" s="10" t="str">
        <f t="shared" si="24"/>
        <v/>
      </c>
      <c r="D148" s="10" t="str">
        <f t="shared" si="25"/>
        <v/>
      </c>
      <c r="E148" s="10" t="str">
        <f>IF(B148="","",IF(B148&lt;Config!$B$4,Config!$B$7,Config!$B$8))</f>
        <v/>
      </c>
      <c r="F148" s="10"/>
      <c r="G148" s="10"/>
      <c r="H148" s="10"/>
      <c r="I148" s="10"/>
      <c r="J148" s="10"/>
      <c r="K148" s="10"/>
      <c r="L148" s="10"/>
      <c r="M148" s="31"/>
      <c r="N148" s="32"/>
      <c r="O148" s="32"/>
      <c r="P148" s="33" t="str">
        <f t="shared" si="26"/>
        <v/>
      </c>
      <c r="Q148" s="32"/>
      <c r="R148" s="33" t="str">
        <f t="shared" si="27"/>
        <v/>
      </c>
      <c r="S148" s="31" t="str">
        <f t="shared" si="28"/>
        <v/>
      </c>
      <c r="T148" s="33"/>
      <c r="U148" s="10"/>
      <c r="V148" s="10"/>
      <c r="W148" s="10"/>
    </row>
    <row r="149" spans="1:23" x14ac:dyDescent="0.35">
      <c r="A149" s="10" t="str">
        <f t="shared" si="29"/>
        <v/>
      </c>
      <c r="B149" s="8"/>
      <c r="C149" s="10" t="str">
        <f t="shared" si="24"/>
        <v/>
      </c>
      <c r="D149" s="10" t="str">
        <f t="shared" si="25"/>
        <v/>
      </c>
      <c r="E149" s="10" t="str">
        <f>IF(B149="","",IF(B149&lt;Config!$B$4,Config!$B$7,Config!$B$8))</f>
        <v/>
      </c>
      <c r="F149" s="10"/>
      <c r="G149" s="10"/>
      <c r="H149" s="10"/>
      <c r="I149" s="10"/>
      <c r="J149" s="10"/>
      <c r="K149" s="10"/>
      <c r="L149" s="10"/>
      <c r="M149" s="31"/>
      <c r="N149" s="32"/>
      <c r="O149" s="32"/>
      <c r="P149" s="33" t="str">
        <f t="shared" si="26"/>
        <v/>
      </c>
      <c r="Q149" s="32"/>
      <c r="R149" s="33" t="str">
        <f t="shared" si="27"/>
        <v/>
      </c>
      <c r="S149" s="31" t="str">
        <f t="shared" si="28"/>
        <v/>
      </c>
      <c r="T149" s="33"/>
      <c r="U149" s="10"/>
      <c r="V149" s="10"/>
      <c r="W149" s="10"/>
    </row>
    <row r="150" spans="1:23" x14ac:dyDescent="0.35">
      <c r="A150" s="10" t="str">
        <f t="shared" si="29"/>
        <v/>
      </c>
      <c r="B150" s="8"/>
      <c r="C150" s="10" t="str">
        <f t="shared" si="24"/>
        <v/>
      </c>
      <c r="D150" s="10" t="str">
        <f t="shared" si="25"/>
        <v/>
      </c>
      <c r="E150" s="10" t="str">
        <f>IF(B150="","",IF(B150&lt;Config!$B$4,Config!$B$7,Config!$B$8))</f>
        <v/>
      </c>
      <c r="F150" s="10"/>
      <c r="G150" s="10"/>
      <c r="H150" s="10"/>
      <c r="I150" s="10"/>
      <c r="J150" s="10"/>
      <c r="K150" s="10"/>
      <c r="L150" s="10"/>
      <c r="M150" s="31"/>
      <c r="N150" s="32"/>
      <c r="O150" s="32"/>
      <c r="P150" s="33" t="str">
        <f t="shared" si="26"/>
        <v/>
      </c>
      <c r="Q150" s="32"/>
      <c r="R150" s="33" t="str">
        <f t="shared" si="27"/>
        <v/>
      </c>
      <c r="S150" s="31" t="str">
        <f t="shared" si="28"/>
        <v/>
      </c>
      <c r="T150" s="33"/>
      <c r="U150" s="10"/>
      <c r="V150" s="10"/>
      <c r="W150" s="10"/>
    </row>
    <row r="151" spans="1:23" x14ac:dyDescent="0.35">
      <c r="A151" s="10" t="str">
        <f t="shared" si="29"/>
        <v/>
      </c>
      <c r="B151" s="8"/>
      <c r="C151" s="10" t="str">
        <f t="shared" si="24"/>
        <v/>
      </c>
      <c r="D151" s="10" t="str">
        <f t="shared" si="25"/>
        <v/>
      </c>
      <c r="E151" s="10" t="str">
        <f>IF(B151="","",IF(B151&lt;Config!$B$4,Config!$B$7,Config!$B$8))</f>
        <v/>
      </c>
      <c r="F151" s="10"/>
      <c r="G151" s="10"/>
      <c r="H151" s="10"/>
      <c r="I151" s="10"/>
      <c r="J151" s="10"/>
      <c r="K151" s="10"/>
      <c r="L151" s="10"/>
      <c r="M151" s="31"/>
      <c r="N151" s="32"/>
      <c r="O151" s="32"/>
      <c r="P151" s="33" t="str">
        <f t="shared" si="26"/>
        <v/>
      </c>
      <c r="Q151" s="32"/>
      <c r="R151" s="33" t="str">
        <f t="shared" si="27"/>
        <v/>
      </c>
      <c r="S151" s="31" t="str">
        <f t="shared" si="28"/>
        <v/>
      </c>
      <c r="T151" s="33"/>
      <c r="U151" s="10"/>
      <c r="V151" s="10"/>
      <c r="W151" s="10"/>
    </row>
    <row r="152" spans="1:23" x14ac:dyDescent="0.35">
      <c r="A152" s="10" t="str">
        <f t="shared" si="29"/>
        <v/>
      </c>
      <c r="B152" s="8"/>
      <c r="C152" s="10" t="str">
        <f t="shared" si="24"/>
        <v/>
      </c>
      <c r="D152" s="10" t="str">
        <f t="shared" si="25"/>
        <v/>
      </c>
      <c r="E152" s="10" t="str">
        <f>IF(B152="","",IF(B152&lt;Config!$B$4,Config!$B$7,Config!$B$8))</f>
        <v/>
      </c>
      <c r="F152" s="10"/>
      <c r="G152" s="10"/>
      <c r="H152" s="10"/>
      <c r="I152" s="10"/>
      <c r="J152" s="10"/>
      <c r="K152" s="10"/>
      <c r="L152" s="10"/>
      <c r="M152" s="31"/>
      <c r="N152" s="32"/>
      <c r="O152" s="32"/>
      <c r="P152" s="33" t="str">
        <f t="shared" si="26"/>
        <v/>
      </c>
      <c r="Q152" s="32"/>
      <c r="R152" s="33" t="str">
        <f t="shared" si="27"/>
        <v/>
      </c>
      <c r="S152" s="31" t="str">
        <f t="shared" si="28"/>
        <v/>
      </c>
      <c r="T152" s="33"/>
      <c r="U152" s="10"/>
      <c r="V152" s="10"/>
      <c r="W152" s="10"/>
    </row>
    <row r="153" spans="1:23" x14ac:dyDescent="0.35">
      <c r="A153" s="10" t="str">
        <f t="shared" si="29"/>
        <v/>
      </c>
      <c r="B153" s="8"/>
      <c r="C153" s="10" t="str">
        <f t="shared" si="24"/>
        <v/>
      </c>
      <c r="D153" s="10" t="str">
        <f t="shared" si="25"/>
        <v/>
      </c>
      <c r="E153" s="10" t="str">
        <f>IF(B153="","",IF(B153&lt;Config!$B$4,Config!$B$7,Config!$B$8))</f>
        <v/>
      </c>
      <c r="F153" s="10"/>
      <c r="G153" s="10"/>
      <c r="H153" s="10"/>
      <c r="I153" s="10"/>
      <c r="J153" s="10"/>
      <c r="K153" s="10"/>
      <c r="L153" s="10"/>
      <c r="M153" s="31"/>
      <c r="N153" s="32"/>
      <c r="O153" s="32"/>
      <c r="P153" s="33" t="str">
        <f t="shared" si="26"/>
        <v/>
      </c>
      <c r="Q153" s="32"/>
      <c r="R153" s="33" t="str">
        <f t="shared" si="27"/>
        <v/>
      </c>
      <c r="S153" s="31" t="str">
        <f t="shared" si="28"/>
        <v/>
      </c>
      <c r="T153" s="33"/>
      <c r="U153" s="10"/>
      <c r="V153" s="10"/>
      <c r="W153" s="10"/>
    </row>
    <row r="154" spans="1:23" x14ac:dyDescent="0.35">
      <c r="A154" s="10" t="str">
        <f t="shared" si="29"/>
        <v/>
      </c>
      <c r="B154" s="8"/>
      <c r="C154" s="10" t="str">
        <f t="shared" si="24"/>
        <v/>
      </c>
      <c r="D154" s="10" t="str">
        <f t="shared" si="25"/>
        <v/>
      </c>
      <c r="E154" s="10" t="str">
        <f>IF(B154="","",IF(B154&lt;Config!$B$4,Config!$B$7,Config!$B$8))</f>
        <v/>
      </c>
      <c r="F154" s="10"/>
      <c r="G154" s="10"/>
      <c r="H154" s="10"/>
      <c r="I154" s="10"/>
      <c r="J154" s="10"/>
      <c r="K154" s="10"/>
      <c r="L154" s="10"/>
      <c r="M154" s="31"/>
      <c r="N154" s="32"/>
      <c r="O154" s="32"/>
      <c r="P154" s="33" t="str">
        <f t="shared" si="26"/>
        <v/>
      </c>
      <c r="Q154" s="32"/>
      <c r="R154" s="33" t="str">
        <f t="shared" si="27"/>
        <v/>
      </c>
      <c r="S154" s="31" t="str">
        <f t="shared" si="28"/>
        <v/>
      </c>
      <c r="T154" s="33"/>
      <c r="U154" s="10"/>
      <c r="V154" s="10"/>
      <c r="W154" s="10"/>
    </row>
    <row r="155" spans="1:23" x14ac:dyDescent="0.35">
      <c r="A155" s="10" t="str">
        <f t="shared" si="29"/>
        <v/>
      </c>
      <c r="B155" s="8"/>
      <c r="C155" s="10" t="str">
        <f t="shared" si="24"/>
        <v/>
      </c>
      <c r="D155" s="10" t="str">
        <f t="shared" si="25"/>
        <v/>
      </c>
      <c r="E155" s="10" t="str">
        <f>IF(B155="","",IF(B155&lt;Config!$B$4,Config!$B$7,Config!$B$8))</f>
        <v/>
      </c>
      <c r="F155" s="10"/>
      <c r="G155" s="10"/>
      <c r="H155" s="10"/>
      <c r="I155" s="10"/>
      <c r="J155" s="10"/>
      <c r="K155" s="10"/>
      <c r="L155" s="10"/>
      <c r="M155" s="31"/>
      <c r="N155" s="32"/>
      <c r="O155" s="32"/>
      <c r="P155" s="33" t="str">
        <f t="shared" si="26"/>
        <v/>
      </c>
      <c r="Q155" s="32"/>
      <c r="R155" s="33" t="str">
        <f t="shared" si="27"/>
        <v/>
      </c>
      <c r="S155" s="31" t="str">
        <f t="shared" si="28"/>
        <v/>
      </c>
      <c r="T155" s="33"/>
      <c r="U155" s="10"/>
      <c r="V155" s="10"/>
      <c r="W155" s="10"/>
    </row>
    <row r="156" spans="1:23" x14ac:dyDescent="0.35">
      <c r="A156" s="10" t="str">
        <f t="shared" si="29"/>
        <v/>
      </c>
      <c r="B156" s="8"/>
      <c r="C156" s="10" t="str">
        <f t="shared" si="24"/>
        <v/>
      </c>
      <c r="D156" s="10" t="str">
        <f t="shared" si="25"/>
        <v/>
      </c>
      <c r="E156" s="10" t="str">
        <f>IF(B156="","",IF(B156&lt;Config!$B$4,Config!$B$7,Config!$B$8))</f>
        <v/>
      </c>
      <c r="F156" s="10"/>
      <c r="G156" s="10"/>
      <c r="H156" s="10"/>
      <c r="I156" s="10"/>
      <c r="J156" s="10"/>
      <c r="K156" s="10"/>
      <c r="L156" s="10"/>
      <c r="M156" s="31"/>
      <c r="N156" s="32"/>
      <c r="O156" s="32"/>
      <c r="P156" s="33" t="str">
        <f t="shared" si="26"/>
        <v/>
      </c>
      <c r="Q156" s="32"/>
      <c r="R156" s="33" t="str">
        <f t="shared" si="27"/>
        <v/>
      </c>
      <c r="S156" s="31" t="str">
        <f t="shared" si="28"/>
        <v/>
      </c>
      <c r="T156" s="33"/>
      <c r="U156" s="10"/>
      <c r="V156" s="10"/>
      <c r="W156" s="10"/>
    </row>
    <row r="157" spans="1:23" x14ac:dyDescent="0.35">
      <c r="A157" s="10" t="str">
        <f t="shared" si="29"/>
        <v/>
      </c>
      <c r="B157" s="8"/>
      <c r="C157" s="10" t="str">
        <f t="shared" si="24"/>
        <v/>
      </c>
      <c r="D157" s="10" t="str">
        <f t="shared" si="25"/>
        <v/>
      </c>
      <c r="E157" s="10" t="str">
        <f>IF(B157="","",IF(B157&lt;Config!$B$4,Config!$B$7,Config!$B$8))</f>
        <v/>
      </c>
      <c r="F157" s="10"/>
      <c r="G157" s="10"/>
      <c r="H157" s="10"/>
      <c r="I157" s="10"/>
      <c r="J157" s="10"/>
      <c r="K157" s="10"/>
      <c r="L157" s="10"/>
      <c r="M157" s="31"/>
      <c r="N157" s="32"/>
      <c r="O157" s="32"/>
      <c r="P157" s="33" t="str">
        <f t="shared" si="26"/>
        <v/>
      </c>
      <c r="Q157" s="32"/>
      <c r="R157" s="33" t="str">
        <f t="shared" si="27"/>
        <v/>
      </c>
      <c r="S157" s="31" t="str">
        <f t="shared" si="28"/>
        <v/>
      </c>
      <c r="T157" s="33"/>
      <c r="U157" s="10"/>
      <c r="V157" s="10"/>
      <c r="W157" s="10"/>
    </row>
    <row r="158" spans="1:23" x14ac:dyDescent="0.35">
      <c r="A158" s="10" t="str">
        <f t="shared" si="29"/>
        <v/>
      </c>
      <c r="B158" s="8"/>
      <c r="C158" s="10" t="str">
        <f t="shared" si="24"/>
        <v/>
      </c>
      <c r="D158" s="10" t="str">
        <f t="shared" si="25"/>
        <v/>
      </c>
      <c r="E158" s="10" t="str">
        <f>IF(B158="","",IF(B158&lt;Config!$B$4,Config!$B$7,Config!$B$8))</f>
        <v/>
      </c>
      <c r="F158" s="10"/>
      <c r="G158" s="10"/>
      <c r="H158" s="10"/>
      <c r="I158" s="10"/>
      <c r="J158" s="10"/>
      <c r="K158" s="10"/>
      <c r="L158" s="10"/>
      <c r="M158" s="31"/>
      <c r="N158" s="32"/>
      <c r="O158" s="32"/>
      <c r="P158" s="33" t="str">
        <f t="shared" si="26"/>
        <v/>
      </c>
      <c r="Q158" s="32"/>
      <c r="R158" s="33" t="str">
        <f t="shared" si="27"/>
        <v/>
      </c>
      <c r="S158" s="31" t="str">
        <f t="shared" si="28"/>
        <v/>
      </c>
      <c r="T158" s="33"/>
      <c r="U158" s="10"/>
      <c r="V158" s="10"/>
      <c r="W158" s="10"/>
    </row>
    <row r="159" spans="1:23" x14ac:dyDescent="0.35">
      <c r="A159" s="10" t="str">
        <f t="shared" si="29"/>
        <v/>
      </c>
      <c r="B159" s="8"/>
      <c r="C159" s="10" t="str">
        <f t="shared" si="24"/>
        <v/>
      </c>
      <c r="D159" s="10" t="str">
        <f t="shared" si="25"/>
        <v/>
      </c>
      <c r="E159" s="10" t="str">
        <f>IF(B159="","",IF(B159&lt;Config!$B$4,Config!$B$7,Config!$B$8))</f>
        <v/>
      </c>
      <c r="F159" s="10"/>
      <c r="G159" s="10"/>
      <c r="H159" s="10"/>
      <c r="I159" s="10"/>
      <c r="J159" s="10"/>
      <c r="K159" s="10"/>
      <c r="L159" s="10"/>
      <c r="M159" s="31"/>
      <c r="N159" s="32"/>
      <c r="O159" s="32"/>
      <c r="P159" s="33" t="str">
        <f t="shared" si="26"/>
        <v/>
      </c>
      <c r="Q159" s="32"/>
      <c r="R159" s="33" t="str">
        <f t="shared" si="27"/>
        <v/>
      </c>
      <c r="S159" s="31" t="str">
        <f t="shared" si="28"/>
        <v/>
      </c>
      <c r="T159" s="33"/>
      <c r="U159" s="10"/>
      <c r="V159" s="10"/>
      <c r="W159" s="10"/>
    </row>
    <row r="160" spans="1:23" x14ac:dyDescent="0.35">
      <c r="A160" s="10" t="str">
        <f t="shared" si="29"/>
        <v/>
      </c>
      <c r="B160" s="8"/>
      <c r="C160" s="10" t="str">
        <f t="shared" si="24"/>
        <v/>
      </c>
      <c r="D160" s="10" t="str">
        <f t="shared" si="25"/>
        <v/>
      </c>
      <c r="E160" s="10" t="str">
        <f>IF(B160="","",IF(B160&lt;Config!$B$4,Config!$B$7,Config!$B$8))</f>
        <v/>
      </c>
      <c r="F160" s="10"/>
      <c r="G160" s="10"/>
      <c r="H160" s="10"/>
      <c r="I160" s="10"/>
      <c r="J160" s="10"/>
      <c r="K160" s="10"/>
      <c r="L160" s="10"/>
      <c r="M160" s="31"/>
      <c r="N160" s="32"/>
      <c r="O160" s="32"/>
      <c r="P160" s="33" t="str">
        <f t="shared" si="26"/>
        <v/>
      </c>
      <c r="Q160" s="32"/>
      <c r="R160" s="33" t="str">
        <f t="shared" si="27"/>
        <v/>
      </c>
      <c r="S160" s="31" t="str">
        <f t="shared" si="28"/>
        <v/>
      </c>
      <c r="T160" s="33"/>
      <c r="U160" s="10"/>
      <c r="V160" s="10"/>
      <c r="W160" s="10"/>
    </row>
    <row r="161" spans="1:23" x14ac:dyDescent="0.35">
      <c r="A161" s="10" t="str">
        <f t="shared" si="29"/>
        <v/>
      </c>
      <c r="B161" s="8"/>
      <c r="C161" s="10" t="str">
        <f t="shared" si="24"/>
        <v/>
      </c>
      <c r="D161" s="10" t="str">
        <f t="shared" si="25"/>
        <v/>
      </c>
      <c r="E161" s="10" t="str">
        <f>IF(B161="","",IF(B161&lt;Config!$B$4,Config!$B$7,Config!$B$8))</f>
        <v/>
      </c>
      <c r="F161" s="10"/>
      <c r="G161" s="10"/>
      <c r="H161" s="10"/>
      <c r="I161" s="10"/>
      <c r="J161" s="10"/>
      <c r="K161" s="10"/>
      <c r="L161" s="10"/>
      <c r="M161" s="31"/>
      <c r="N161" s="32"/>
      <c r="O161" s="32"/>
      <c r="P161" s="33" t="str">
        <f t="shared" si="26"/>
        <v/>
      </c>
      <c r="Q161" s="32"/>
      <c r="R161" s="33" t="str">
        <f t="shared" si="27"/>
        <v/>
      </c>
      <c r="S161" s="31" t="str">
        <f t="shared" si="28"/>
        <v/>
      </c>
      <c r="T161" s="33"/>
      <c r="U161" s="10"/>
      <c r="V161" s="10"/>
      <c r="W161" s="10"/>
    </row>
    <row r="162" spans="1:23" x14ac:dyDescent="0.35">
      <c r="A162" s="10" t="str">
        <f t="shared" si="29"/>
        <v/>
      </c>
      <c r="B162" s="8"/>
      <c r="C162" s="10" t="str">
        <f t="shared" ref="C162:C193" si="30">IF(B162="","",TEXT(B162,"YYYY-MM"))</f>
        <v/>
      </c>
      <c r="D162" s="10" t="str">
        <f t="shared" ref="D162:D193" si="31">IF(B162="","",TEXT(B162,"MMM YYYY"))</f>
        <v/>
      </c>
      <c r="E162" s="10" t="str">
        <f>IF(B162="","",IF(B162&lt;Config!$B$4,Config!$B$7,Config!$B$8))</f>
        <v/>
      </c>
      <c r="F162" s="10"/>
      <c r="G162" s="10"/>
      <c r="H162" s="10"/>
      <c r="I162" s="10"/>
      <c r="J162" s="10"/>
      <c r="K162" s="10"/>
      <c r="L162" s="10"/>
      <c r="M162" s="31"/>
      <c r="N162" s="32"/>
      <c r="O162" s="32"/>
      <c r="P162" s="33" t="str">
        <f t="shared" ref="P162:P193" si="32">IF(OR(N162="",O162=""),"",IF(N162=0,"",O162/N162*100))</f>
        <v/>
      </c>
      <c r="Q162" s="32"/>
      <c r="R162" s="33" t="str">
        <f t="shared" ref="R162:R193" si="33">IF(OR(O162="",Q162=""),"",IF(O162=0,"",Q162/O162*100))</f>
        <v/>
      </c>
      <c r="S162" s="31" t="str">
        <f t="shared" ref="S162:S193" si="34">IF(OR(M162="",Q162=""),"",IF(Q162=0,"",M162/Q162))</f>
        <v/>
      </c>
      <c r="T162" s="33"/>
      <c r="U162" s="10"/>
      <c r="V162" s="10"/>
      <c r="W162" s="10"/>
    </row>
    <row r="163" spans="1:23" x14ac:dyDescent="0.35">
      <c r="A163" s="10" t="str">
        <f t="shared" si="29"/>
        <v/>
      </c>
      <c r="B163" s="8"/>
      <c r="C163" s="10" t="str">
        <f t="shared" si="30"/>
        <v/>
      </c>
      <c r="D163" s="10" t="str">
        <f t="shared" si="31"/>
        <v/>
      </c>
      <c r="E163" s="10" t="str">
        <f>IF(B163="","",IF(B163&lt;Config!$B$4,Config!$B$7,Config!$B$8))</f>
        <v/>
      </c>
      <c r="F163" s="10"/>
      <c r="G163" s="10"/>
      <c r="H163" s="10"/>
      <c r="I163" s="10"/>
      <c r="J163" s="10"/>
      <c r="K163" s="10"/>
      <c r="L163" s="10"/>
      <c r="M163" s="31"/>
      <c r="N163" s="32"/>
      <c r="O163" s="32"/>
      <c r="P163" s="33" t="str">
        <f t="shared" si="32"/>
        <v/>
      </c>
      <c r="Q163" s="32"/>
      <c r="R163" s="33" t="str">
        <f t="shared" si="33"/>
        <v/>
      </c>
      <c r="S163" s="31" t="str">
        <f t="shared" si="34"/>
        <v/>
      </c>
      <c r="T163" s="33"/>
      <c r="U163" s="10"/>
      <c r="V163" s="10"/>
      <c r="W163" s="10"/>
    </row>
    <row r="164" spans="1:23" x14ac:dyDescent="0.35">
      <c r="A164" s="10" t="str">
        <f t="shared" si="29"/>
        <v/>
      </c>
      <c r="B164" s="8"/>
      <c r="C164" s="10" t="str">
        <f t="shared" si="30"/>
        <v/>
      </c>
      <c r="D164" s="10" t="str">
        <f t="shared" si="31"/>
        <v/>
      </c>
      <c r="E164" s="10" t="str">
        <f>IF(B164="","",IF(B164&lt;Config!$B$4,Config!$B$7,Config!$B$8))</f>
        <v/>
      </c>
      <c r="F164" s="10"/>
      <c r="G164" s="10"/>
      <c r="H164" s="10"/>
      <c r="I164" s="10"/>
      <c r="J164" s="10"/>
      <c r="K164" s="10"/>
      <c r="L164" s="10"/>
      <c r="M164" s="31"/>
      <c r="N164" s="32"/>
      <c r="O164" s="32"/>
      <c r="P164" s="33" t="str">
        <f t="shared" si="32"/>
        <v/>
      </c>
      <c r="Q164" s="32"/>
      <c r="R164" s="33" t="str">
        <f t="shared" si="33"/>
        <v/>
      </c>
      <c r="S164" s="31" t="str">
        <f t="shared" si="34"/>
        <v/>
      </c>
      <c r="T164" s="33"/>
      <c r="U164" s="10"/>
      <c r="V164" s="10"/>
      <c r="W164" s="10"/>
    </row>
    <row r="165" spans="1:23" x14ac:dyDescent="0.35">
      <c r="A165" s="10" t="str">
        <f t="shared" si="29"/>
        <v/>
      </c>
      <c r="B165" s="8"/>
      <c r="C165" s="10" t="str">
        <f t="shared" si="30"/>
        <v/>
      </c>
      <c r="D165" s="10" t="str">
        <f t="shared" si="31"/>
        <v/>
      </c>
      <c r="E165" s="10" t="str">
        <f>IF(B165="","",IF(B165&lt;Config!$B$4,Config!$B$7,Config!$B$8))</f>
        <v/>
      </c>
      <c r="F165" s="10"/>
      <c r="G165" s="10"/>
      <c r="H165" s="10"/>
      <c r="I165" s="10"/>
      <c r="J165" s="10"/>
      <c r="K165" s="10"/>
      <c r="L165" s="10"/>
      <c r="M165" s="31"/>
      <c r="N165" s="32"/>
      <c r="O165" s="32"/>
      <c r="P165" s="33" t="str">
        <f t="shared" si="32"/>
        <v/>
      </c>
      <c r="Q165" s="32"/>
      <c r="R165" s="33" t="str">
        <f t="shared" si="33"/>
        <v/>
      </c>
      <c r="S165" s="31" t="str">
        <f t="shared" si="34"/>
        <v/>
      </c>
      <c r="T165" s="33"/>
      <c r="U165" s="10"/>
      <c r="V165" s="10"/>
      <c r="W165" s="10"/>
    </row>
    <row r="166" spans="1:23" x14ac:dyDescent="0.35">
      <c r="A166" s="10" t="str">
        <f t="shared" si="29"/>
        <v/>
      </c>
      <c r="B166" s="8"/>
      <c r="C166" s="10" t="str">
        <f t="shared" si="30"/>
        <v/>
      </c>
      <c r="D166" s="10" t="str">
        <f t="shared" si="31"/>
        <v/>
      </c>
      <c r="E166" s="10" t="str">
        <f>IF(B166="","",IF(B166&lt;Config!$B$4,Config!$B$7,Config!$B$8))</f>
        <v/>
      </c>
      <c r="F166" s="10"/>
      <c r="G166" s="10"/>
      <c r="H166" s="10"/>
      <c r="I166" s="10"/>
      <c r="J166" s="10"/>
      <c r="K166" s="10"/>
      <c r="L166" s="10"/>
      <c r="M166" s="31"/>
      <c r="N166" s="32"/>
      <c r="O166" s="32"/>
      <c r="P166" s="33" t="str">
        <f t="shared" si="32"/>
        <v/>
      </c>
      <c r="Q166" s="32"/>
      <c r="R166" s="33" t="str">
        <f t="shared" si="33"/>
        <v/>
      </c>
      <c r="S166" s="31" t="str">
        <f t="shared" si="34"/>
        <v/>
      </c>
      <c r="T166" s="33"/>
      <c r="U166" s="10"/>
      <c r="V166" s="10"/>
      <c r="W166" s="10"/>
    </row>
    <row r="167" spans="1:23" x14ac:dyDescent="0.35">
      <c r="A167" s="10" t="str">
        <f t="shared" si="29"/>
        <v/>
      </c>
      <c r="B167" s="8"/>
      <c r="C167" s="10" t="str">
        <f t="shared" si="30"/>
        <v/>
      </c>
      <c r="D167" s="10" t="str">
        <f t="shared" si="31"/>
        <v/>
      </c>
      <c r="E167" s="10" t="str">
        <f>IF(B167="","",IF(B167&lt;Config!$B$4,Config!$B$7,Config!$B$8))</f>
        <v/>
      </c>
      <c r="F167" s="10"/>
      <c r="G167" s="10"/>
      <c r="H167" s="10"/>
      <c r="I167" s="10"/>
      <c r="J167" s="10"/>
      <c r="K167" s="10"/>
      <c r="L167" s="10"/>
      <c r="M167" s="31"/>
      <c r="N167" s="32"/>
      <c r="O167" s="32"/>
      <c r="P167" s="33" t="str">
        <f t="shared" si="32"/>
        <v/>
      </c>
      <c r="Q167" s="32"/>
      <c r="R167" s="33" t="str">
        <f t="shared" si="33"/>
        <v/>
      </c>
      <c r="S167" s="31" t="str">
        <f t="shared" si="34"/>
        <v/>
      </c>
      <c r="T167" s="33"/>
      <c r="U167" s="10"/>
      <c r="V167" s="10"/>
      <c r="W167" s="10"/>
    </row>
    <row r="168" spans="1:23" x14ac:dyDescent="0.35">
      <c r="A168" s="10" t="str">
        <f t="shared" si="29"/>
        <v/>
      </c>
      <c r="B168" s="8"/>
      <c r="C168" s="10" t="str">
        <f t="shared" si="30"/>
        <v/>
      </c>
      <c r="D168" s="10" t="str">
        <f t="shared" si="31"/>
        <v/>
      </c>
      <c r="E168" s="10" t="str">
        <f>IF(B168="","",IF(B168&lt;Config!$B$4,Config!$B$7,Config!$B$8))</f>
        <v/>
      </c>
      <c r="F168" s="10"/>
      <c r="G168" s="10"/>
      <c r="H168" s="10"/>
      <c r="I168" s="10"/>
      <c r="J168" s="10"/>
      <c r="K168" s="10"/>
      <c r="L168" s="10"/>
      <c r="M168" s="31"/>
      <c r="N168" s="32"/>
      <c r="O168" s="32"/>
      <c r="P168" s="33" t="str">
        <f t="shared" si="32"/>
        <v/>
      </c>
      <c r="Q168" s="32"/>
      <c r="R168" s="33" t="str">
        <f t="shared" si="33"/>
        <v/>
      </c>
      <c r="S168" s="31" t="str">
        <f t="shared" si="34"/>
        <v/>
      </c>
      <c r="T168" s="33"/>
      <c r="U168" s="10"/>
      <c r="V168" s="10"/>
      <c r="W168" s="10"/>
    </row>
    <row r="169" spans="1:23" x14ac:dyDescent="0.35">
      <c r="A169" s="10" t="str">
        <f t="shared" si="29"/>
        <v/>
      </c>
      <c r="B169" s="8"/>
      <c r="C169" s="10" t="str">
        <f t="shared" si="30"/>
        <v/>
      </c>
      <c r="D169" s="10" t="str">
        <f t="shared" si="31"/>
        <v/>
      </c>
      <c r="E169" s="10" t="str">
        <f>IF(B169="","",IF(B169&lt;Config!$B$4,Config!$B$7,Config!$B$8))</f>
        <v/>
      </c>
      <c r="F169" s="10"/>
      <c r="G169" s="10"/>
      <c r="H169" s="10"/>
      <c r="I169" s="10"/>
      <c r="J169" s="10"/>
      <c r="K169" s="10"/>
      <c r="L169" s="10"/>
      <c r="M169" s="31"/>
      <c r="N169" s="32"/>
      <c r="O169" s="32"/>
      <c r="P169" s="33" t="str">
        <f t="shared" si="32"/>
        <v/>
      </c>
      <c r="Q169" s="32"/>
      <c r="R169" s="33" t="str">
        <f t="shared" si="33"/>
        <v/>
      </c>
      <c r="S169" s="31" t="str">
        <f t="shared" si="34"/>
        <v/>
      </c>
      <c r="T169" s="33"/>
      <c r="U169" s="10"/>
      <c r="V169" s="10"/>
      <c r="W169" s="10"/>
    </row>
    <row r="170" spans="1:23" x14ac:dyDescent="0.35">
      <c r="A170" s="10" t="str">
        <f t="shared" si="29"/>
        <v/>
      </c>
      <c r="B170" s="8"/>
      <c r="C170" s="10" t="str">
        <f t="shared" si="30"/>
        <v/>
      </c>
      <c r="D170" s="10" t="str">
        <f t="shared" si="31"/>
        <v/>
      </c>
      <c r="E170" s="10" t="str">
        <f>IF(B170="","",IF(B170&lt;Config!$B$4,Config!$B$7,Config!$B$8))</f>
        <v/>
      </c>
      <c r="F170" s="10"/>
      <c r="G170" s="10"/>
      <c r="H170" s="10"/>
      <c r="I170" s="10"/>
      <c r="J170" s="10"/>
      <c r="K170" s="10"/>
      <c r="L170" s="10"/>
      <c r="M170" s="31"/>
      <c r="N170" s="32"/>
      <c r="O170" s="32"/>
      <c r="P170" s="33" t="str">
        <f t="shared" si="32"/>
        <v/>
      </c>
      <c r="Q170" s="32"/>
      <c r="R170" s="33" t="str">
        <f t="shared" si="33"/>
        <v/>
      </c>
      <c r="S170" s="31" t="str">
        <f t="shared" si="34"/>
        <v/>
      </c>
      <c r="T170" s="33"/>
      <c r="U170" s="10"/>
      <c r="V170" s="10"/>
      <c r="W170" s="10"/>
    </row>
    <row r="171" spans="1:23" x14ac:dyDescent="0.35">
      <c r="A171" s="10" t="str">
        <f t="shared" si="29"/>
        <v/>
      </c>
      <c r="B171" s="8"/>
      <c r="C171" s="10" t="str">
        <f t="shared" si="30"/>
        <v/>
      </c>
      <c r="D171" s="10" t="str">
        <f t="shared" si="31"/>
        <v/>
      </c>
      <c r="E171" s="10" t="str">
        <f>IF(B171="","",IF(B171&lt;Config!$B$4,Config!$B$7,Config!$B$8))</f>
        <v/>
      </c>
      <c r="F171" s="10"/>
      <c r="G171" s="10"/>
      <c r="H171" s="10"/>
      <c r="I171" s="10"/>
      <c r="J171" s="10"/>
      <c r="K171" s="10"/>
      <c r="L171" s="10"/>
      <c r="M171" s="31"/>
      <c r="N171" s="32"/>
      <c r="O171" s="32"/>
      <c r="P171" s="33" t="str">
        <f t="shared" si="32"/>
        <v/>
      </c>
      <c r="Q171" s="32"/>
      <c r="R171" s="33" t="str">
        <f t="shared" si="33"/>
        <v/>
      </c>
      <c r="S171" s="31" t="str">
        <f t="shared" si="34"/>
        <v/>
      </c>
      <c r="T171" s="33"/>
      <c r="U171" s="10"/>
      <c r="V171" s="10"/>
      <c r="W171" s="10"/>
    </row>
    <row r="172" spans="1:23" x14ac:dyDescent="0.35">
      <c r="A172" s="10" t="str">
        <f t="shared" si="29"/>
        <v/>
      </c>
      <c r="B172" s="8"/>
      <c r="C172" s="10" t="str">
        <f t="shared" si="30"/>
        <v/>
      </c>
      <c r="D172" s="10" t="str">
        <f t="shared" si="31"/>
        <v/>
      </c>
      <c r="E172" s="10" t="str">
        <f>IF(B172="","",IF(B172&lt;Config!$B$4,Config!$B$7,Config!$B$8))</f>
        <v/>
      </c>
      <c r="F172" s="10"/>
      <c r="G172" s="10"/>
      <c r="H172" s="10"/>
      <c r="I172" s="10"/>
      <c r="J172" s="10"/>
      <c r="K172" s="10"/>
      <c r="L172" s="10"/>
      <c r="M172" s="31"/>
      <c r="N172" s="32"/>
      <c r="O172" s="32"/>
      <c r="P172" s="33" t="str">
        <f t="shared" si="32"/>
        <v/>
      </c>
      <c r="Q172" s="32"/>
      <c r="R172" s="33" t="str">
        <f t="shared" si="33"/>
        <v/>
      </c>
      <c r="S172" s="31" t="str">
        <f t="shared" si="34"/>
        <v/>
      </c>
      <c r="T172" s="33"/>
      <c r="U172" s="10"/>
      <c r="V172" s="10"/>
      <c r="W172" s="10"/>
    </row>
    <row r="173" spans="1:23" x14ac:dyDescent="0.35">
      <c r="A173" s="10" t="str">
        <f t="shared" ref="A173:A204" si="35">IF(B173="","",ROW()-1)</f>
        <v/>
      </c>
      <c r="B173" s="8"/>
      <c r="C173" s="10" t="str">
        <f t="shared" si="30"/>
        <v/>
      </c>
      <c r="D173" s="10" t="str">
        <f t="shared" si="31"/>
        <v/>
      </c>
      <c r="E173" s="10" t="str">
        <f>IF(B173="","",IF(B173&lt;Config!$B$4,Config!$B$7,Config!$B$8))</f>
        <v/>
      </c>
      <c r="F173" s="10"/>
      <c r="G173" s="10"/>
      <c r="H173" s="10"/>
      <c r="I173" s="10"/>
      <c r="J173" s="10"/>
      <c r="K173" s="10"/>
      <c r="L173" s="10"/>
      <c r="M173" s="31"/>
      <c r="N173" s="32"/>
      <c r="O173" s="32"/>
      <c r="P173" s="33" t="str">
        <f t="shared" si="32"/>
        <v/>
      </c>
      <c r="Q173" s="32"/>
      <c r="R173" s="33" t="str">
        <f t="shared" si="33"/>
        <v/>
      </c>
      <c r="S173" s="31" t="str">
        <f t="shared" si="34"/>
        <v/>
      </c>
      <c r="T173" s="33"/>
      <c r="U173" s="10"/>
      <c r="V173" s="10"/>
      <c r="W173" s="10"/>
    </row>
    <row r="174" spans="1:23" x14ac:dyDescent="0.35">
      <c r="A174" s="10" t="str">
        <f t="shared" si="35"/>
        <v/>
      </c>
      <c r="B174" s="8"/>
      <c r="C174" s="10" t="str">
        <f t="shared" si="30"/>
        <v/>
      </c>
      <c r="D174" s="10" t="str">
        <f t="shared" si="31"/>
        <v/>
      </c>
      <c r="E174" s="10" t="str">
        <f>IF(B174="","",IF(B174&lt;Config!$B$4,Config!$B$7,Config!$B$8))</f>
        <v/>
      </c>
      <c r="F174" s="10"/>
      <c r="G174" s="10"/>
      <c r="H174" s="10"/>
      <c r="I174" s="10"/>
      <c r="J174" s="10"/>
      <c r="K174" s="10"/>
      <c r="L174" s="10"/>
      <c r="M174" s="31"/>
      <c r="N174" s="32"/>
      <c r="O174" s="32"/>
      <c r="P174" s="33" t="str">
        <f t="shared" si="32"/>
        <v/>
      </c>
      <c r="Q174" s="32"/>
      <c r="R174" s="33" t="str">
        <f t="shared" si="33"/>
        <v/>
      </c>
      <c r="S174" s="31" t="str">
        <f t="shared" si="34"/>
        <v/>
      </c>
      <c r="T174" s="33"/>
      <c r="U174" s="10"/>
      <c r="V174" s="10"/>
      <c r="W174" s="10"/>
    </row>
    <row r="175" spans="1:23" x14ac:dyDescent="0.35">
      <c r="A175" s="10" t="str">
        <f t="shared" si="35"/>
        <v/>
      </c>
      <c r="B175" s="8"/>
      <c r="C175" s="10" t="str">
        <f t="shared" si="30"/>
        <v/>
      </c>
      <c r="D175" s="10" t="str">
        <f t="shared" si="31"/>
        <v/>
      </c>
      <c r="E175" s="10" t="str">
        <f>IF(B175="","",IF(B175&lt;Config!$B$4,Config!$B$7,Config!$B$8))</f>
        <v/>
      </c>
      <c r="F175" s="10"/>
      <c r="G175" s="10"/>
      <c r="H175" s="10"/>
      <c r="I175" s="10"/>
      <c r="J175" s="10"/>
      <c r="K175" s="10"/>
      <c r="L175" s="10"/>
      <c r="M175" s="31"/>
      <c r="N175" s="32"/>
      <c r="O175" s="32"/>
      <c r="P175" s="33" t="str">
        <f t="shared" si="32"/>
        <v/>
      </c>
      <c r="Q175" s="32"/>
      <c r="R175" s="33" t="str">
        <f t="shared" si="33"/>
        <v/>
      </c>
      <c r="S175" s="31" t="str">
        <f t="shared" si="34"/>
        <v/>
      </c>
      <c r="T175" s="33"/>
      <c r="U175" s="10"/>
      <c r="V175" s="10"/>
      <c r="W175" s="10"/>
    </row>
    <row r="176" spans="1:23" x14ac:dyDescent="0.35">
      <c r="A176" s="10" t="str">
        <f t="shared" si="35"/>
        <v/>
      </c>
      <c r="B176" s="8"/>
      <c r="C176" s="10" t="str">
        <f t="shared" si="30"/>
        <v/>
      </c>
      <c r="D176" s="10" t="str">
        <f t="shared" si="31"/>
        <v/>
      </c>
      <c r="E176" s="10" t="str">
        <f>IF(B176="","",IF(B176&lt;Config!$B$4,Config!$B$7,Config!$B$8))</f>
        <v/>
      </c>
      <c r="F176" s="10"/>
      <c r="G176" s="10"/>
      <c r="H176" s="10"/>
      <c r="I176" s="10"/>
      <c r="J176" s="10"/>
      <c r="K176" s="10"/>
      <c r="L176" s="10"/>
      <c r="M176" s="31"/>
      <c r="N176" s="32"/>
      <c r="O176" s="32"/>
      <c r="P176" s="33" t="str">
        <f t="shared" si="32"/>
        <v/>
      </c>
      <c r="Q176" s="32"/>
      <c r="R176" s="33" t="str">
        <f t="shared" si="33"/>
        <v/>
      </c>
      <c r="S176" s="31" t="str">
        <f t="shared" si="34"/>
        <v/>
      </c>
      <c r="T176" s="33"/>
      <c r="U176" s="10"/>
      <c r="V176" s="10"/>
      <c r="W176" s="10"/>
    </row>
    <row r="177" spans="1:23" x14ac:dyDescent="0.35">
      <c r="A177" s="10" t="str">
        <f t="shared" si="35"/>
        <v/>
      </c>
      <c r="B177" s="8"/>
      <c r="C177" s="10" t="str">
        <f t="shared" si="30"/>
        <v/>
      </c>
      <c r="D177" s="10" t="str">
        <f t="shared" si="31"/>
        <v/>
      </c>
      <c r="E177" s="10" t="str">
        <f>IF(B177="","",IF(B177&lt;Config!$B$4,Config!$B$7,Config!$B$8))</f>
        <v/>
      </c>
      <c r="F177" s="10"/>
      <c r="G177" s="10"/>
      <c r="H177" s="10"/>
      <c r="I177" s="10"/>
      <c r="J177" s="10"/>
      <c r="K177" s="10"/>
      <c r="L177" s="10"/>
      <c r="M177" s="31"/>
      <c r="N177" s="32"/>
      <c r="O177" s="32"/>
      <c r="P177" s="33" t="str">
        <f t="shared" si="32"/>
        <v/>
      </c>
      <c r="Q177" s="32"/>
      <c r="R177" s="33" t="str">
        <f t="shared" si="33"/>
        <v/>
      </c>
      <c r="S177" s="31" t="str">
        <f t="shared" si="34"/>
        <v/>
      </c>
      <c r="T177" s="33"/>
      <c r="U177" s="10"/>
      <c r="V177" s="10"/>
      <c r="W177" s="10"/>
    </row>
    <row r="178" spans="1:23" x14ac:dyDescent="0.35">
      <c r="A178" s="10" t="str">
        <f t="shared" si="35"/>
        <v/>
      </c>
      <c r="B178" s="8"/>
      <c r="C178" s="10" t="str">
        <f t="shared" si="30"/>
        <v/>
      </c>
      <c r="D178" s="10" t="str">
        <f t="shared" si="31"/>
        <v/>
      </c>
      <c r="E178" s="10" t="str">
        <f>IF(B178="","",IF(B178&lt;Config!$B$4,Config!$B$7,Config!$B$8))</f>
        <v/>
      </c>
      <c r="F178" s="10"/>
      <c r="G178" s="10"/>
      <c r="H178" s="10"/>
      <c r="I178" s="10"/>
      <c r="J178" s="10"/>
      <c r="K178" s="10"/>
      <c r="L178" s="10"/>
      <c r="M178" s="31"/>
      <c r="N178" s="32"/>
      <c r="O178" s="32"/>
      <c r="P178" s="33" t="str">
        <f t="shared" si="32"/>
        <v/>
      </c>
      <c r="Q178" s="32"/>
      <c r="R178" s="33" t="str">
        <f t="shared" si="33"/>
        <v/>
      </c>
      <c r="S178" s="31" t="str">
        <f t="shared" si="34"/>
        <v/>
      </c>
      <c r="T178" s="33"/>
      <c r="U178" s="10"/>
      <c r="V178" s="10"/>
      <c r="W178" s="10"/>
    </row>
    <row r="179" spans="1:23" x14ac:dyDescent="0.35">
      <c r="A179" s="10" t="str">
        <f t="shared" si="35"/>
        <v/>
      </c>
      <c r="B179" s="8"/>
      <c r="C179" s="10" t="str">
        <f t="shared" si="30"/>
        <v/>
      </c>
      <c r="D179" s="10" t="str">
        <f t="shared" si="31"/>
        <v/>
      </c>
      <c r="E179" s="10" t="str">
        <f>IF(B179="","",IF(B179&lt;Config!$B$4,Config!$B$7,Config!$B$8))</f>
        <v/>
      </c>
      <c r="F179" s="10"/>
      <c r="G179" s="10"/>
      <c r="H179" s="10"/>
      <c r="I179" s="10"/>
      <c r="J179" s="10"/>
      <c r="K179" s="10"/>
      <c r="L179" s="10"/>
      <c r="M179" s="31"/>
      <c r="N179" s="32"/>
      <c r="O179" s="32"/>
      <c r="P179" s="33" t="str">
        <f t="shared" si="32"/>
        <v/>
      </c>
      <c r="Q179" s="32"/>
      <c r="R179" s="33" t="str">
        <f t="shared" si="33"/>
        <v/>
      </c>
      <c r="S179" s="31" t="str">
        <f t="shared" si="34"/>
        <v/>
      </c>
      <c r="T179" s="33"/>
      <c r="U179" s="10"/>
      <c r="V179" s="10"/>
      <c r="W179" s="10"/>
    </row>
    <row r="180" spans="1:23" x14ac:dyDescent="0.35">
      <c r="A180" s="10" t="str">
        <f t="shared" si="35"/>
        <v/>
      </c>
      <c r="B180" s="8"/>
      <c r="C180" s="10" t="str">
        <f t="shared" si="30"/>
        <v/>
      </c>
      <c r="D180" s="10" t="str">
        <f t="shared" si="31"/>
        <v/>
      </c>
      <c r="E180" s="10" t="str">
        <f>IF(B180="","",IF(B180&lt;Config!$B$4,Config!$B$7,Config!$B$8))</f>
        <v/>
      </c>
      <c r="F180" s="10"/>
      <c r="G180" s="10"/>
      <c r="H180" s="10"/>
      <c r="I180" s="10"/>
      <c r="J180" s="10"/>
      <c r="K180" s="10"/>
      <c r="L180" s="10"/>
      <c r="M180" s="31"/>
      <c r="N180" s="32"/>
      <c r="O180" s="32"/>
      <c r="P180" s="33" t="str">
        <f t="shared" si="32"/>
        <v/>
      </c>
      <c r="Q180" s="32"/>
      <c r="R180" s="33" t="str">
        <f t="shared" si="33"/>
        <v/>
      </c>
      <c r="S180" s="31" t="str">
        <f t="shared" si="34"/>
        <v/>
      </c>
      <c r="T180" s="33"/>
      <c r="U180" s="10"/>
      <c r="V180" s="10"/>
      <c r="W180" s="10"/>
    </row>
    <row r="181" spans="1:23" x14ac:dyDescent="0.35">
      <c r="A181" s="10" t="str">
        <f t="shared" si="35"/>
        <v/>
      </c>
      <c r="B181" s="8"/>
      <c r="C181" s="10" t="str">
        <f t="shared" si="30"/>
        <v/>
      </c>
      <c r="D181" s="10" t="str">
        <f t="shared" si="31"/>
        <v/>
      </c>
      <c r="E181" s="10" t="str">
        <f>IF(B181="","",IF(B181&lt;Config!$B$4,Config!$B$7,Config!$B$8))</f>
        <v/>
      </c>
      <c r="F181" s="10"/>
      <c r="G181" s="10"/>
      <c r="H181" s="10"/>
      <c r="I181" s="10"/>
      <c r="J181" s="10"/>
      <c r="K181" s="10"/>
      <c r="L181" s="10"/>
      <c r="M181" s="31"/>
      <c r="N181" s="32"/>
      <c r="O181" s="32"/>
      <c r="P181" s="33" t="str">
        <f t="shared" si="32"/>
        <v/>
      </c>
      <c r="Q181" s="32"/>
      <c r="R181" s="33" t="str">
        <f t="shared" si="33"/>
        <v/>
      </c>
      <c r="S181" s="31" t="str">
        <f t="shared" si="34"/>
        <v/>
      </c>
      <c r="T181" s="33"/>
      <c r="U181" s="10"/>
      <c r="V181" s="10"/>
      <c r="W181" s="10"/>
    </row>
    <row r="182" spans="1:23" x14ac:dyDescent="0.35">
      <c r="A182" s="10" t="str">
        <f t="shared" si="35"/>
        <v/>
      </c>
      <c r="B182" s="8"/>
      <c r="C182" s="10" t="str">
        <f t="shared" si="30"/>
        <v/>
      </c>
      <c r="D182" s="10" t="str">
        <f t="shared" si="31"/>
        <v/>
      </c>
      <c r="E182" s="10" t="str">
        <f>IF(B182="","",IF(B182&lt;Config!$B$4,Config!$B$7,Config!$B$8))</f>
        <v/>
      </c>
      <c r="F182" s="10"/>
      <c r="G182" s="10"/>
      <c r="H182" s="10"/>
      <c r="I182" s="10"/>
      <c r="J182" s="10"/>
      <c r="K182" s="10"/>
      <c r="L182" s="10"/>
      <c r="M182" s="31"/>
      <c r="N182" s="32"/>
      <c r="O182" s="32"/>
      <c r="P182" s="33" t="str">
        <f t="shared" si="32"/>
        <v/>
      </c>
      <c r="Q182" s="32"/>
      <c r="R182" s="33" t="str">
        <f t="shared" si="33"/>
        <v/>
      </c>
      <c r="S182" s="31" t="str">
        <f t="shared" si="34"/>
        <v/>
      </c>
      <c r="T182" s="33"/>
      <c r="U182" s="10"/>
      <c r="V182" s="10"/>
      <c r="W182" s="10"/>
    </row>
    <row r="183" spans="1:23" x14ac:dyDescent="0.35">
      <c r="A183" s="10" t="str">
        <f t="shared" si="35"/>
        <v/>
      </c>
      <c r="B183" s="8"/>
      <c r="C183" s="10" t="str">
        <f t="shared" si="30"/>
        <v/>
      </c>
      <c r="D183" s="10" t="str">
        <f t="shared" si="31"/>
        <v/>
      </c>
      <c r="E183" s="10" t="str">
        <f>IF(B183="","",IF(B183&lt;Config!$B$4,Config!$B$7,Config!$B$8))</f>
        <v/>
      </c>
      <c r="F183" s="10"/>
      <c r="G183" s="10"/>
      <c r="H183" s="10"/>
      <c r="I183" s="10"/>
      <c r="J183" s="10"/>
      <c r="K183" s="10"/>
      <c r="L183" s="10"/>
      <c r="M183" s="31"/>
      <c r="N183" s="32"/>
      <c r="O183" s="32"/>
      <c r="P183" s="33" t="str">
        <f t="shared" si="32"/>
        <v/>
      </c>
      <c r="Q183" s="32"/>
      <c r="R183" s="33" t="str">
        <f t="shared" si="33"/>
        <v/>
      </c>
      <c r="S183" s="31" t="str">
        <f t="shared" si="34"/>
        <v/>
      </c>
      <c r="T183" s="33"/>
      <c r="U183" s="10"/>
      <c r="V183" s="10"/>
      <c r="W183" s="10"/>
    </row>
    <row r="184" spans="1:23" x14ac:dyDescent="0.35">
      <c r="A184" s="10" t="str">
        <f t="shared" si="35"/>
        <v/>
      </c>
      <c r="B184" s="8"/>
      <c r="C184" s="10" t="str">
        <f t="shared" si="30"/>
        <v/>
      </c>
      <c r="D184" s="10" t="str">
        <f t="shared" si="31"/>
        <v/>
      </c>
      <c r="E184" s="10" t="str">
        <f>IF(B184="","",IF(B184&lt;Config!$B$4,Config!$B$7,Config!$B$8))</f>
        <v/>
      </c>
      <c r="F184" s="10"/>
      <c r="G184" s="10"/>
      <c r="H184" s="10"/>
      <c r="I184" s="10"/>
      <c r="J184" s="10"/>
      <c r="K184" s="10"/>
      <c r="L184" s="10"/>
      <c r="M184" s="31"/>
      <c r="N184" s="32"/>
      <c r="O184" s="32"/>
      <c r="P184" s="33" t="str">
        <f t="shared" si="32"/>
        <v/>
      </c>
      <c r="Q184" s="32"/>
      <c r="R184" s="33" t="str">
        <f t="shared" si="33"/>
        <v/>
      </c>
      <c r="S184" s="31" t="str">
        <f t="shared" si="34"/>
        <v/>
      </c>
      <c r="T184" s="33"/>
      <c r="U184" s="10"/>
      <c r="V184" s="10"/>
      <c r="W184" s="10"/>
    </row>
    <row r="185" spans="1:23" x14ac:dyDescent="0.35">
      <c r="A185" s="10" t="str">
        <f t="shared" si="35"/>
        <v/>
      </c>
      <c r="B185" s="8"/>
      <c r="C185" s="10" t="str">
        <f t="shared" si="30"/>
        <v/>
      </c>
      <c r="D185" s="10" t="str">
        <f t="shared" si="31"/>
        <v/>
      </c>
      <c r="E185" s="10" t="str">
        <f>IF(B185="","",IF(B185&lt;Config!$B$4,Config!$B$7,Config!$B$8))</f>
        <v/>
      </c>
      <c r="F185" s="10"/>
      <c r="G185" s="10"/>
      <c r="H185" s="10"/>
      <c r="I185" s="10"/>
      <c r="J185" s="10"/>
      <c r="K185" s="10"/>
      <c r="L185" s="10"/>
      <c r="M185" s="31"/>
      <c r="N185" s="32"/>
      <c r="O185" s="32"/>
      <c r="P185" s="33" t="str">
        <f t="shared" si="32"/>
        <v/>
      </c>
      <c r="Q185" s="32"/>
      <c r="R185" s="33" t="str">
        <f t="shared" si="33"/>
        <v/>
      </c>
      <c r="S185" s="31" t="str">
        <f t="shared" si="34"/>
        <v/>
      </c>
      <c r="T185" s="33"/>
      <c r="U185" s="10"/>
      <c r="V185" s="10"/>
      <c r="W185" s="10"/>
    </row>
    <row r="186" spans="1:23" x14ac:dyDescent="0.35">
      <c r="A186" s="10" t="str">
        <f t="shared" si="35"/>
        <v/>
      </c>
      <c r="B186" s="8"/>
      <c r="C186" s="10" t="str">
        <f t="shared" si="30"/>
        <v/>
      </c>
      <c r="D186" s="10" t="str">
        <f t="shared" si="31"/>
        <v/>
      </c>
      <c r="E186" s="10" t="str">
        <f>IF(B186="","",IF(B186&lt;Config!$B$4,Config!$B$7,Config!$B$8))</f>
        <v/>
      </c>
      <c r="F186" s="10"/>
      <c r="G186" s="10"/>
      <c r="H186" s="10"/>
      <c r="I186" s="10"/>
      <c r="J186" s="10"/>
      <c r="K186" s="10"/>
      <c r="L186" s="10"/>
      <c r="M186" s="31"/>
      <c r="N186" s="32"/>
      <c r="O186" s="32"/>
      <c r="P186" s="33" t="str">
        <f t="shared" si="32"/>
        <v/>
      </c>
      <c r="Q186" s="32"/>
      <c r="R186" s="33" t="str">
        <f t="shared" si="33"/>
        <v/>
      </c>
      <c r="S186" s="31" t="str">
        <f t="shared" si="34"/>
        <v/>
      </c>
      <c r="T186" s="33"/>
      <c r="U186" s="10"/>
      <c r="V186" s="10"/>
      <c r="W186" s="10"/>
    </row>
    <row r="187" spans="1:23" x14ac:dyDescent="0.35">
      <c r="A187" s="10" t="str">
        <f t="shared" si="35"/>
        <v/>
      </c>
      <c r="B187" s="8"/>
      <c r="C187" s="10" t="str">
        <f t="shared" si="30"/>
        <v/>
      </c>
      <c r="D187" s="10" t="str">
        <f t="shared" si="31"/>
        <v/>
      </c>
      <c r="E187" s="10" t="str">
        <f>IF(B187="","",IF(B187&lt;Config!$B$4,Config!$B$7,Config!$B$8))</f>
        <v/>
      </c>
      <c r="F187" s="10"/>
      <c r="G187" s="10"/>
      <c r="H187" s="10"/>
      <c r="I187" s="10"/>
      <c r="J187" s="10"/>
      <c r="K187" s="10"/>
      <c r="L187" s="10"/>
      <c r="M187" s="31"/>
      <c r="N187" s="32"/>
      <c r="O187" s="32"/>
      <c r="P187" s="33" t="str">
        <f t="shared" si="32"/>
        <v/>
      </c>
      <c r="Q187" s="32"/>
      <c r="R187" s="33" t="str">
        <f t="shared" si="33"/>
        <v/>
      </c>
      <c r="S187" s="31" t="str">
        <f t="shared" si="34"/>
        <v/>
      </c>
      <c r="T187" s="33"/>
      <c r="U187" s="10"/>
      <c r="V187" s="10"/>
      <c r="W187" s="10"/>
    </row>
    <row r="188" spans="1:23" x14ac:dyDescent="0.35">
      <c r="A188" s="10" t="str">
        <f t="shared" si="35"/>
        <v/>
      </c>
      <c r="B188" s="8"/>
      <c r="C188" s="10" t="str">
        <f t="shared" si="30"/>
        <v/>
      </c>
      <c r="D188" s="10" t="str">
        <f t="shared" si="31"/>
        <v/>
      </c>
      <c r="E188" s="10" t="str">
        <f>IF(B188="","",IF(B188&lt;Config!$B$4,Config!$B$7,Config!$B$8))</f>
        <v/>
      </c>
      <c r="F188" s="10"/>
      <c r="G188" s="10"/>
      <c r="H188" s="10"/>
      <c r="I188" s="10"/>
      <c r="J188" s="10"/>
      <c r="K188" s="10"/>
      <c r="L188" s="10"/>
      <c r="M188" s="31"/>
      <c r="N188" s="32"/>
      <c r="O188" s="32"/>
      <c r="P188" s="33" t="str">
        <f t="shared" si="32"/>
        <v/>
      </c>
      <c r="Q188" s="32"/>
      <c r="R188" s="33" t="str">
        <f t="shared" si="33"/>
        <v/>
      </c>
      <c r="S188" s="31" t="str">
        <f t="shared" si="34"/>
        <v/>
      </c>
      <c r="T188" s="33"/>
      <c r="U188" s="10"/>
      <c r="V188" s="10"/>
      <c r="W188" s="10"/>
    </row>
    <row r="189" spans="1:23" x14ac:dyDescent="0.35">
      <c r="A189" s="10" t="str">
        <f t="shared" si="35"/>
        <v/>
      </c>
      <c r="B189" s="8"/>
      <c r="C189" s="10" t="str">
        <f t="shared" si="30"/>
        <v/>
      </c>
      <c r="D189" s="10" t="str">
        <f t="shared" si="31"/>
        <v/>
      </c>
      <c r="E189" s="10" t="str">
        <f>IF(B189="","",IF(B189&lt;Config!$B$4,Config!$B$7,Config!$B$8))</f>
        <v/>
      </c>
      <c r="F189" s="10"/>
      <c r="G189" s="10"/>
      <c r="H189" s="10"/>
      <c r="I189" s="10"/>
      <c r="J189" s="10"/>
      <c r="K189" s="10"/>
      <c r="L189" s="10"/>
      <c r="M189" s="31"/>
      <c r="N189" s="32"/>
      <c r="O189" s="32"/>
      <c r="P189" s="33" t="str">
        <f t="shared" si="32"/>
        <v/>
      </c>
      <c r="Q189" s="32"/>
      <c r="R189" s="33" t="str">
        <f t="shared" si="33"/>
        <v/>
      </c>
      <c r="S189" s="31" t="str">
        <f t="shared" si="34"/>
        <v/>
      </c>
      <c r="T189" s="33"/>
      <c r="U189" s="10"/>
      <c r="V189" s="10"/>
      <c r="W189" s="10"/>
    </row>
    <row r="190" spans="1:23" x14ac:dyDescent="0.35">
      <c r="A190" s="10" t="str">
        <f t="shared" si="35"/>
        <v/>
      </c>
      <c r="B190" s="8"/>
      <c r="C190" s="10" t="str">
        <f t="shared" si="30"/>
        <v/>
      </c>
      <c r="D190" s="10" t="str">
        <f t="shared" si="31"/>
        <v/>
      </c>
      <c r="E190" s="10" t="str">
        <f>IF(B190="","",IF(B190&lt;Config!$B$4,Config!$B$7,Config!$B$8))</f>
        <v/>
      </c>
      <c r="F190" s="10"/>
      <c r="G190" s="10"/>
      <c r="H190" s="10"/>
      <c r="I190" s="10"/>
      <c r="J190" s="10"/>
      <c r="K190" s="10"/>
      <c r="L190" s="10"/>
      <c r="M190" s="31"/>
      <c r="N190" s="32"/>
      <c r="O190" s="32"/>
      <c r="P190" s="33" t="str">
        <f t="shared" si="32"/>
        <v/>
      </c>
      <c r="Q190" s="32"/>
      <c r="R190" s="33" t="str">
        <f t="shared" si="33"/>
        <v/>
      </c>
      <c r="S190" s="31" t="str">
        <f t="shared" si="34"/>
        <v/>
      </c>
      <c r="T190" s="33"/>
      <c r="U190" s="10"/>
      <c r="V190" s="10"/>
      <c r="W190" s="10"/>
    </row>
    <row r="191" spans="1:23" x14ac:dyDescent="0.35">
      <c r="A191" s="10" t="str">
        <f t="shared" si="35"/>
        <v/>
      </c>
      <c r="B191" s="8"/>
      <c r="C191" s="10" t="str">
        <f t="shared" si="30"/>
        <v/>
      </c>
      <c r="D191" s="10" t="str">
        <f t="shared" si="31"/>
        <v/>
      </c>
      <c r="E191" s="10" t="str">
        <f>IF(B191="","",IF(B191&lt;Config!$B$4,Config!$B$7,Config!$B$8))</f>
        <v/>
      </c>
      <c r="F191" s="10"/>
      <c r="G191" s="10"/>
      <c r="H191" s="10"/>
      <c r="I191" s="10"/>
      <c r="J191" s="10"/>
      <c r="K191" s="10"/>
      <c r="L191" s="10"/>
      <c r="M191" s="31"/>
      <c r="N191" s="32"/>
      <c r="O191" s="32"/>
      <c r="P191" s="33" t="str">
        <f t="shared" si="32"/>
        <v/>
      </c>
      <c r="Q191" s="32"/>
      <c r="R191" s="33" t="str">
        <f t="shared" si="33"/>
        <v/>
      </c>
      <c r="S191" s="31" t="str">
        <f t="shared" si="34"/>
        <v/>
      </c>
      <c r="T191" s="33"/>
      <c r="U191" s="10"/>
      <c r="V191" s="10"/>
      <c r="W191" s="10"/>
    </row>
    <row r="192" spans="1:23" x14ac:dyDescent="0.35">
      <c r="A192" s="10" t="str">
        <f t="shared" si="35"/>
        <v/>
      </c>
      <c r="B192" s="8"/>
      <c r="C192" s="10" t="str">
        <f t="shared" si="30"/>
        <v/>
      </c>
      <c r="D192" s="10" t="str">
        <f t="shared" si="31"/>
        <v/>
      </c>
      <c r="E192" s="10" t="str">
        <f>IF(B192="","",IF(B192&lt;Config!$B$4,Config!$B$7,Config!$B$8))</f>
        <v/>
      </c>
      <c r="F192" s="10"/>
      <c r="G192" s="10"/>
      <c r="H192" s="10"/>
      <c r="I192" s="10"/>
      <c r="J192" s="10"/>
      <c r="K192" s="10"/>
      <c r="L192" s="10"/>
      <c r="M192" s="31"/>
      <c r="N192" s="32"/>
      <c r="O192" s="32"/>
      <c r="P192" s="33" t="str">
        <f t="shared" si="32"/>
        <v/>
      </c>
      <c r="Q192" s="32"/>
      <c r="R192" s="33" t="str">
        <f t="shared" si="33"/>
        <v/>
      </c>
      <c r="S192" s="31" t="str">
        <f t="shared" si="34"/>
        <v/>
      </c>
      <c r="T192" s="33"/>
      <c r="U192" s="10"/>
      <c r="V192" s="10"/>
      <c r="W192" s="10"/>
    </row>
    <row r="193" spans="1:23" x14ac:dyDescent="0.35">
      <c r="A193" s="10" t="str">
        <f t="shared" si="35"/>
        <v/>
      </c>
      <c r="B193" s="8"/>
      <c r="C193" s="10" t="str">
        <f t="shared" si="30"/>
        <v/>
      </c>
      <c r="D193" s="10" t="str">
        <f t="shared" si="31"/>
        <v/>
      </c>
      <c r="E193" s="10" t="str">
        <f>IF(B193="","",IF(B193&lt;Config!$B$4,Config!$B$7,Config!$B$8))</f>
        <v/>
      </c>
      <c r="F193" s="10"/>
      <c r="G193" s="10"/>
      <c r="H193" s="10"/>
      <c r="I193" s="10"/>
      <c r="J193" s="10"/>
      <c r="K193" s="10"/>
      <c r="L193" s="10"/>
      <c r="M193" s="31"/>
      <c r="N193" s="32"/>
      <c r="O193" s="32"/>
      <c r="P193" s="33" t="str">
        <f t="shared" si="32"/>
        <v/>
      </c>
      <c r="Q193" s="32"/>
      <c r="R193" s="33" t="str">
        <f t="shared" si="33"/>
        <v/>
      </c>
      <c r="S193" s="31" t="str">
        <f t="shared" si="34"/>
        <v/>
      </c>
      <c r="T193" s="33"/>
      <c r="U193" s="10"/>
      <c r="V193" s="10"/>
      <c r="W193" s="10"/>
    </row>
    <row r="194" spans="1:23" x14ac:dyDescent="0.35">
      <c r="A194" s="10" t="str">
        <f t="shared" si="35"/>
        <v/>
      </c>
      <c r="B194" s="8"/>
      <c r="C194" s="10" t="str">
        <f t="shared" ref="C194:C225" si="36">IF(B194="","",TEXT(B194,"YYYY-MM"))</f>
        <v/>
      </c>
      <c r="D194" s="10" t="str">
        <f t="shared" ref="D194:D200" si="37">IF(B194="","",TEXT(B194,"MMM YYYY"))</f>
        <v/>
      </c>
      <c r="E194" s="10" t="str">
        <f>IF(B194="","",IF(B194&lt;Config!$B$4,Config!$B$7,Config!$B$8))</f>
        <v/>
      </c>
      <c r="F194" s="10"/>
      <c r="G194" s="10"/>
      <c r="H194" s="10"/>
      <c r="I194" s="10"/>
      <c r="J194" s="10"/>
      <c r="K194" s="10"/>
      <c r="L194" s="10"/>
      <c r="M194" s="31"/>
      <c r="N194" s="32"/>
      <c r="O194" s="32"/>
      <c r="P194" s="33" t="str">
        <f t="shared" ref="P194:P225" si="38">IF(OR(N194="",O194=""),"",IF(N194=0,"",O194/N194*100))</f>
        <v/>
      </c>
      <c r="Q194" s="32"/>
      <c r="R194" s="33" t="str">
        <f t="shared" ref="R194:R225" si="39">IF(OR(O194="",Q194=""),"",IF(O194=0,"",Q194/O194*100))</f>
        <v/>
      </c>
      <c r="S194" s="31" t="str">
        <f t="shared" ref="S194:S200" si="40">IF(OR(M194="",Q194=""),"",IF(Q194=0,"",M194/Q194))</f>
        <v/>
      </c>
      <c r="T194" s="33"/>
      <c r="U194" s="10"/>
      <c r="V194" s="10"/>
      <c r="W194" s="10"/>
    </row>
    <row r="195" spans="1:23" x14ac:dyDescent="0.35">
      <c r="A195" s="10" t="str">
        <f t="shared" si="35"/>
        <v/>
      </c>
      <c r="B195" s="8"/>
      <c r="C195" s="10" t="str">
        <f t="shared" si="36"/>
        <v/>
      </c>
      <c r="D195" s="10" t="str">
        <f t="shared" si="37"/>
        <v/>
      </c>
      <c r="E195" s="10" t="str">
        <f>IF(B195="","",IF(B195&lt;Config!$B$4,Config!$B$7,Config!$B$8))</f>
        <v/>
      </c>
      <c r="F195" s="10"/>
      <c r="G195" s="10"/>
      <c r="H195" s="10"/>
      <c r="I195" s="10"/>
      <c r="J195" s="10"/>
      <c r="K195" s="10"/>
      <c r="L195" s="10"/>
      <c r="M195" s="31"/>
      <c r="N195" s="32"/>
      <c r="O195" s="32"/>
      <c r="P195" s="33" t="str">
        <f t="shared" si="38"/>
        <v/>
      </c>
      <c r="Q195" s="32"/>
      <c r="R195" s="33" t="str">
        <f t="shared" si="39"/>
        <v/>
      </c>
      <c r="S195" s="31" t="str">
        <f t="shared" si="40"/>
        <v/>
      </c>
      <c r="T195" s="33"/>
      <c r="U195" s="10"/>
      <c r="V195" s="10"/>
      <c r="W195" s="10"/>
    </row>
    <row r="196" spans="1:23" x14ac:dyDescent="0.35">
      <c r="A196" s="10" t="str">
        <f t="shared" si="35"/>
        <v/>
      </c>
      <c r="B196" s="8"/>
      <c r="C196" s="10" t="str">
        <f t="shared" si="36"/>
        <v/>
      </c>
      <c r="D196" s="10" t="str">
        <f t="shared" si="37"/>
        <v/>
      </c>
      <c r="E196" s="10" t="str">
        <f>IF(B196="","",IF(B196&lt;Config!$B$4,Config!$B$7,Config!$B$8))</f>
        <v/>
      </c>
      <c r="F196" s="10"/>
      <c r="G196" s="10"/>
      <c r="H196" s="10"/>
      <c r="I196" s="10"/>
      <c r="J196" s="10"/>
      <c r="K196" s="10"/>
      <c r="L196" s="10"/>
      <c r="M196" s="31"/>
      <c r="N196" s="32"/>
      <c r="O196" s="32"/>
      <c r="P196" s="33" t="str">
        <f t="shared" si="38"/>
        <v/>
      </c>
      <c r="Q196" s="32"/>
      <c r="R196" s="33" t="str">
        <f t="shared" si="39"/>
        <v/>
      </c>
      <c r="S196" s="31" t="str">
        <f t="shared" si="40"/>
        <v/>
      </c>
      <c r="T196" s="33"/>
      <c r="U196" s="10"/>
      <c r="V196" s="10"/>
      <c r="W196" s="10"/>
    </row>
    <row r="197" spans="1:23" x14ac:dyDescent="0.35">
      <c r="A197" s="10" t="str">
        <f t="shared" si="35"/>
        <v/>
      </c>
      <c r="B197" s="8"/>
      <c r="C197" s="10" t="str">
        <f t="shared" si="36"/>
        <v/>
      </c>
      <c r="D197" s="10" t="str">
        <f t="shared" si="37"/>
        <v/>
      </c>
      <c r="E197" s="10" t="str">
        <f>IF(B197="","",IF(B197&lt;Config!$B$4,Config!$B$7,Config!$B$8))</f>
        <v/>
      </c>
      <c r="F197" s="10"/>
      <c r="G197" s="10"/>
      <c r="H197" s="10"/>
      <c r="I197" s="10"/>
      <c r="J197" s="10"/>
      <c r="K197" s="10"/>
      <c r="L197" s="10"/>
      <c r="M197" s="31"/>
      <c r="N197" s="32"/>
      <c r="O197" s="32"/>
      <c r="P197" s="33" t="str">
        <f t="shared" si="38"/>
        <v/>
      </c>
      <c r="Q197" s="32"/>
      <c r="R197" s="33" t="str">
        <f t="shared" si="39"/>
        <v/>
      </c>
      <c r="S197" s="31" t="str">
        <f t="shared" si="40"/>
        <v/>
      </c>
      <c r="T197" s="33"/>
      <c r="U197" s="10"/>
      <c r="V197" s="10"/>
      <c r="W197" s="10"/>
    </row>
    <row r="198" spans="1:23" x14ac:dyDescent="0.35">
      <c r="A198" s="10" t="str">
        <f t="shared" si="35"/>
        <v/>
      </c>
      <c r="B198" s="8"/>
      <c r="C198" s="10" t="str">
        <f t="shared" si="36"/>
        <v/>
      </c>
      <c r="D198" s="10" t="str">
        <f t="shared" si="37"/>
        <v/>
      </c>
      <c r="E198" s="10" t="str">
        <f>IF(B198="","",IF(B198&lt;Config!$B$4,Config!$B$7,Config!$B$8))</f>
        <v/>
      </c>
      <c r="F198" s="10"/>
      <c r="G198" s="10"/>
      <c r="H198" s="10"/>
      <c r="I198" s="10"/>
      <c r="J198" s="10"/>
      <c r="K198" s="10"/>
      <c r="L198" s="10"/>
      <c r="M198" s="31"/>
      <c r="N198" s="32"/>
      <c r="O198" s="32"/>
      <c r="P198" s="33" t="str">
        <f t="shared" si="38"/>
        <v/>
      </c>
      <c r="Q198" s="32"/>
      <c r="R198" s="33" t="str">
        <f t="shared" si="39"/>
        <v/>
      </c>
      <c r="S198" s="31" t="str">
        <f t="shared" si="40"/>
        <v/>
      </c>
      <c r="T198" s="33"/>
      <c r="U198" s="10"/>
      <c r="V198" s="10"/>
      <c r="W198" s="10"/>
    </row>
    <row r="199" spans="1:23" x14ac:dyDescent="0.35">
      <c r="A199" s="10" t="str">
        <f t="shared" si="35"/>
        <v/>
      </c>
      <c r="B199" s="8"/>
      <c r="C199" s="10" t="str">
        <f t="shared" si="36"/>
        <v/>
      </c>
      <c r="D199" s="10" t="str">
        <f t="shared" si="37"/>
        <v/>
      </c>
      <c r="E199" s="10" t="str">
        <f>IF(B199="","",IF(B199&lt;Config!$B$4,Config!$B$7,Config!$B$8))</f>
        <v/>
      </c>
      <c r="F199" s="10"/>
      <c r="G199" s="10"/>
      <c r="H199" s="10"/>
      <c r="I199" s="10"/>
      <c r="J199" s="10"/>
      <c r="K199" s="10"/>
      <c r="L199" s="10"/>
      <c r="M199" s="31"/>
      <c r="N199" s="32"/>
      <c r="O199" s="32"/>
      <c r="P199" s="33" t="str">
        <f t="shared" si="38"/>
        <v/>
      </c>
      <c r="Q199" s="32"/>
      <c r="R199" s="33" t="str">
        <f t="shared" si="39"/>
        <v/>
      </c>
      <c r="S199" s="31" t="str">
        <f t="shared" si="40"/>
        <v/>
      </c>
      <c r="T199" s="33"/>
      <c r="U199" s="10"/>
      <c r="V199" s="10"/>
      <c r="W199" s="10"/>
    </row>
    <row r="200" spans="1:23" x14ac:dyDescent="0.35">
      <c r="A200" s="10" t="str">
        <f t="shared" si="35"/>
        <v/>
      </c>
      <c r="B200" s="8"/>
      <c r="C200" s="10" t="str">
        <f t="shared" si="36"/>
        <v/>
      </c>
      <c r="D200" s="10" t="str">
        <f t="shared" si="37"/>
        <v/>
      </c>
      <c r="E200" s="10" t="str">
        <f>IF(B200="","",IF(B200&lt;Config!$B$4,Config!$B$7,Config!$B$8))</f>
        <v/>
      </c>
      <c r="F200" s="10"/>
      <c r="G200" s="10"/>
      <c r="H200" s="10"/>
      <c r="I200" s="10"/>
      <c r="J200" s="10"/>
      <c r="K200" s="10"/>
      <c r="L200" s="10"/>
      <c r="M200" s="31"/>
      <c r="N200" s="32"/>
      <c r="O200" s="32"/>
      <c r="P200" s="33" t="str">
        <f t="shared" si="38"/>
        <v/>
      </c>
      <c r="Q200" s="32"/>
      <c r="R200" s="33" t="str">
        <f t="shared" si="39"/>
        <v/>
      </c>
      <c r="S200" s="31" t="str">
        <f t="shared" si="40"/>
        <v/>
      </c>
      <c r="T200" s="33"/>
      <c r="U200" s="10"/>
      <c r="V200" s="10"/>
      <c r="W200" s="10"/>
    </row>
  </sheetData>
  <autoFilter ref="A1:W200" xr:uid="{00000000-0009-0000-0000-000004000000}"/>
  <dataValidations count="4">
    <dataValidation type="list" allowBlank="1" sqref="F2:F200" xr:uid="{00000000-0002-0000-0400-000000000000}">
      <formula1>"Strategy,Deployment,Performance Recap"</formula1>
    </dataValidation>
    <dataValidation type="list" allowBlank="1" sqref="H2:H200" xr:uid="{00000000-0002-0000-0400-000001000000}">
      <formula1>"Google Ads,Microsoft Ads,Apple Search Ads,Other"</formula1>
    </dataValidation>
    <dataValidation type="list" allowBlank="1" sqref="K2:K200" xr:uid="{00000000-0002-0000-0400-000002000000}">
      <formula1>"Planned,Live,Paused,Completed,Recap"</formula1>
    </dataValidation>
    <dataValidation type="list" allowBlank="1" sqref="E2:E200" xr:uid="{00000000-0002-0000-0400-000003000000}">
      <formula1>"Pre,Post"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showGridLines="0" workbookViewId="0">
      <pane xSplit="1" ySplit="3" topLeftCell="B13" activePane="bottomRight" state="frozen"/>
      <selection sqref="A1:M1"/>
      <selection pane="topRight" sqref="A1:M1"/>
      <selection pane="bottomLeft" sqref="A1:M1"/>
      <selection pane="bottomRight" sqref="A1:M1"/>
    </sheetView>
  </sheetViews>
  <sheetFormatPr defaultRowHeight="14.5" x14ac:dyDescent="0.35"/>
  <cols>
    <col min="1" max="1" width="34" customWidth="1"/>
    <col min="2" max="13" width="12" customWidth="1"/>
  </cols>
  <sheetData>
    <row r="1" spans="1:13" ht="21" customHeight="1" x14ac:dyDescent="0.5">
      <c r="A1" s="78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x14ac:dyDescent="0.35">
      <c r="A2" s="76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35">
      <c r="A3" s="12" t="s">
        <v>2</v>
      </c>
      <c r="B3" s="14" t="str">
        <f>IF($B$14="","",IF((COLUMN()-1)&lt;MATCH($B$14,$B$4:$M$4,0),Config!$B$7,Config!$B$8))</f>
        <v>Pre</v>
      </c>
      <c r="C3" s="14" t="str">
        <f>IF($B$14="","",IF((COLUMN()-1)&lt;MATCH($B$14,$B$4:$M$4,0),Config!$B$7,Config!$B$8))</f>
        <v>Pre</v>
      </c>
      <c r="D3" s="14" t="str">
        <f>IF($B$14="","",IF((COLUMN()-1)&lt;MATCH($B$14,$B$4:$M$4,0),Config!$B$7,Config!$B$8))</f>
        <v>Pre</v>
      </c>
      <c r="E3" s="14" t="str">
        <f>IF($B$14="","",IF((COLUMN()-1)&lt;MATCH($B$14,$B$4:$M$4,0),Config!$B$7,Config!$B$8))</f>
        <v>Pre</v>
      </c>
      <c r="F3" s="14" t="str">
        <f>IF($B$14="","",IF((COLUMN()-1)&lt;MATCH($B$14,$B$4:$M$4,0),Config!$B$7,Config!$B$8))</f>
        <v>Pre</v>
      </c>
      <c r="G3" s="14" t="str">
        <f>IF($B$14="","",IF((COLUMN()-1)&lt;MATCH($B$14,$B$4:$M$4,0),Config!$B$7,Config!$B$8))</f>
        <v>Pre</v>
      </c>
      <c r="H3" s="15" t="str">
        <f>IF($B$14="","",IF((COLUMN()-1)&lt;MATCH($B$14,$B$4:$M$4,0),Config!$B$7,Config!$B$8))</f>
        <v>Post</v>
      </c>
      <c r="I3" s="15" t="str">
        <f>IF($B$14="","",IF((COLUMN()-1)&lt;MATCH($B$14,$B$4:$M$4,0),Config!$B$7,Config!$B$8))</f>
        <v>Post</v>
      </c>
      <c r="J3" s="15" t="str">
        <f>IF($B$14="","",IF((COLUMN()-1)&lt;MATCH($B$14,$B$4:$M$4,0),Config!$B$7,Config!$B$8))</f>
        <v>Post</v>
      </c>
      <c r="K3" s="15" t="str">
        <f>IF($B$14="","",IF((COLUMN()-1)&lt;MATCH($B$14,$B$4:$M$4,0),Config!$B$7,Config!$B$8))</f>
        <v>Post</v>
      </c>
      <c r="L3" s="15" t="str">
        <f>IF($B$14="","",IF((COLUMN()-1)&lt;MATCH($B$14,$B$4:$M$4,0),Config!$B$7,Config!$B$8))</f>
        <v>Post</v>
      </c>
      <c r="M3" s="15" t="str">
        <f>IF($B$14="","",IF((COLUMN()-1)&lt;MATCH($B$14,$B$4:$M$4,0),Config!$B$7,Config!$B$8))</f>
        <v>Post</v>
      </c>
    </row>
    <row r="4" spans="1:13" x14ac:dyDescent="0.35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11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</row>
    <row r="5" spans="1:13" x14ac:dyDescent="0.35">
      <c r="A5" s="34" t="s">
        <v>16</v>
      </c>
      <c r="B5" s="35">
        <f>SUMIFS('Raw Data'!M:M,'Raw Data'!C:C,"2026-01")</f>
        <v>4200</v>
      </c>
      <c r="C5" s="35">
        <f>SUMIFS('Raw Data'!M:M,'Raw Data'!C:C,"2026-02")</f>
        <v>4100</v>
      </c>
      <c r="D5" s="35">
        <f>SUMIFS('Raw Data'!M:M,'Raw Data'!C:C,"2026-03")</f>
        <v>4450</v>
      </c>
      <c r="E5" s="35">
        <f>SUMIFS('Raw Data'!M:M,'Raw Data'!C:C,"2026-04")</f>
        <v>4600</v>
      </c>
      <c r="F5" s="35">
        <f>SUMIFS('Raw Data'!M:M,'Raw Data'!C:C,"2026-05")</f>
        <v>4550</v>
      </c>
      <c r="G5" s="35">
        <f>SUMIFS('Raw Data'!M:M,'Raw Data'!C:C,"2026-06")</f>
        <v>4700</v>
      </c>
      <c r="H5" s="36">
        <f>SUMIFS('Raw Data'!M:M,'Raw Data'!C:C,"2026-07")</f>
        <v>6570</v>
      </c>
      <c r="I5" s="35">
        <f>SUMIFS('Raw Data'!M:M,'Raw Data'!C:C,"2026-08")</f>
        <v>0</v>
      </c>
      <c r="J5" s="35">
        <f>SUMIFS('Raw Data'!M:M,'Raw Data'!C:C,"2026-09")</f>
        <v>0</v>
      </c>
      <c r="K5" s="35">
        <f>SUMIFS('Raw Data'!M:M,'Raw Data'!C:C,"2026-10")</f>
        <v>0</v>
      </c>
      <c r="L5" s="35">
        <f>SUMIFS('Raw Data'!M:M,'Raw Data'!C:C,"2026-11")</f>
        <v>0</v>
      </c>
      <c r="M5" s="35">
        <f>SUMIFS('Raw Data'!M:M,'Raw Data'!C:C,"2026-12")</f>
        <v>0</v>
      </c>
    </row>
    <row r="6" spans="1:13" x14ac:dyDescent="0.35">
      <c r="A6" s="34" t="s">
        <v>17</v>
      </c>
      <c r="B6" s="37">
        <f>SUMIFS('Raw Data'!N:N,'Raw Data'!C:C,"2026-01")</f>
        <v>185000</v>
      </c>
      <c r="C6" s="37">
        <f>SUMIFS('Raw Data'!N:N,'Raw Data'!C:C,"2026-02")</f>
        <v>178000</v>
      </c>
      <c r="D6" s="37">
        <f>SUMIFS('Raw Data'!N:N,'Raw Data'!C:C,"2026-03")</f>
        <v>192000</v>
      </c>
      <c r="E6" s="37">
        <f>SUMIFS('Raw Data'!N:N,'Raw Data'!C:C,"2026-04")</f>
        <v>198000</v>
      </c>
      <c r="F6" s="37">
        <f>SUMIFS('Raw Data'!N:N,'Raw Data'!C:C,"2026-05")</f>
        <v>201000</v>
      </c>
      <c r="G6" s="37">
        <f>SUMIFS('Raw Data'!N:N,'Raw Data'!C:C,"2026-06")</f>
        <v>205000</v>
      </c>
      <c r="H6" s="38">
        <f>SUMIFS('Raw Data'!N:N,'Raw Data'!C:C,"2026-07")</f>
        <v>301000</v>
      </c>
      <c r="I6" s="37">
        <f>SUMIFS('Raw Data'!N:N,'Raw Data'!C:C,"2026-08")</f>
        <v>0</v>
      </c>
      <c r="J6" s="37">
        <f>SUMIFS('Raw Data'!N:N,'Raw Data'!C:C,"2026-09")</f>
        <v>0</v>
      </c>
      <c r="K6" s="37">
        <f>SUMIFS('Raw Data'!N:N,'Raw Data'!C:C,"2026-10")</f>
        <v>0</v>
      </c>
      <c r="L6" s="37">
        <f>SUMIFS('Raw Data'!N:N,'Raw Data'!C:C,"2026-11")</f>
        <v>0</v>
      </c>
      <c r="M6" s="37">
        <f>SUMIFS('Raw Data'!N:N,'Raw Data'!C:C,"2026-12")</f>
        <v>0</v>
      </c>
    </row>
    <row r="7" spans="1:13" x14ac:dyDescent="0.35">
      <c r="A7" s="34" t="s">
        <v>18</v>
      </c>
      <c r="B7" s="37">
        <f>SUMIFS('Raw Data'!O:O,'Raw Data'!C:C,"2026-01")</f>
        <v>6200</v>
      </c>
      <c r="C7" s="37">
        <f>SUMIFS('Raw Data'!O:O,'Raw Data'!C:C,"2026-02")</f>
        <v>6050</v>
      </c>
      <c r="D7" s="37">
        <f>SUMIFS('Raw Data'!O:O,'Raw Data'!C:C,"2026-03")</f>
        <v>6400</v>
      </c>
      <c r="E7" s="37">
        <f>SUMIFS('Raw Data'!O:O,'Raw Data'!C:C,"2026-04")</f>
        <v>6550</v>
      </c>
      <c r="F7" s="37">
        <f>SUMIFS('Raw Data'!O:O,'Raw Data'!C:C,"2026-05")</f>
        <v>6620</v>
      </c>
      <c r="G7" s="37">
        <f>SUMIFS('Raw Data'!O:O,'Raw Data'!C:C,"2026-06")</f>
        <v>6800</v>
      </c>
      <c r="H7" s="38">
        <f>SUMIFS('Raw Data'!O:O,'Raw Data'!C:C,"2026-07")</f>
        <v>9830</v>
      </c>
      <c r="I7" s="37">
        <f>SUMIFS('Raw Data'!O:O,'Raw Data'!C:C,"2026-08")</f>
        <v>0</v>
      </c>
      <c r="J7" s="37">
        <f>SUMIFS('Raw Data'!O:O,'Raw Data'!C:C,"2026-09")</f>
        <v>0</v>
      </c>
      <c r="K7" s="37">
        <f>SUMIFS('Raw Data'!O:O,'Raw Data'!C:C,"2026-10")</f>
        <v>0</v>
      </c>
      <c r="L7" s="37">
        <f>SUMIFS('Raw Data'!O:O,'Raw Data'!C:C,"2026-11")</f>
        <v>0</v>
      </c>
      <c r="M7" s="37">
        <f>SUMIFS('Raw Data'!O:O,'Raw Data'!C:C,"2026-12")</f>
        <v>0</v>
      </c>
    </row>
    <row r="8" spans="1:13" x14ac:dyDescent="0.35">
      <c r="A8" s="34" t="s">
        <v>19</v>
      </c>
      <c r="B8" s="37">
        <f>SUMIFS('Raw Data'!Q:Q,'Raw Data'!C:C,"2026-01")</f>
        <v>148</v>
      </c>
      <c r="C8" s="37">
        <f>SUMIFS('Raw Data'!Q:Q,'Raw Data'!C:C,"2026-02")</f>
        <v>142</v>
      </c>
      <c r="D8" s="37">
        <f>SUMIFS('Raw Data'!Q:Q,'Raw Data'!C:C,"2026-03")</f>
        <v>155</v>
      </c>
      <c r="E8" s="37">
        <f>SUMIFS('Raw Data'!Q:Q,'Raw Data'!C:C,"2026-04")</f>
        <v>160</v>
      </c>
      <c r="F8" s="37">
        <f>SUMIFS('Raw Data'!Q:Q,'Raw Data'!C:C,"2026-05")</f>
        <v>158</v>
      </c>
      <c r="G8" s="37">
        <f>SUMIFS('Raw Data'!Q:Q,'Raw Data'!C:C,"2026-06")</f>
        <v>165</v>
      </c>
      <c r="H8" s="38">
        <f>SUMIFS('Raw Data'!Q:Q,'Raw Data'!C:C,"2026-07")</f>
        <v>235</v>
      </c>
      <c r="I8" s="37">
        <f>SUMIFS('Raw Data'!Q:Q,'Raw Data'!C:C,"2026-08")</f>
        <v>0</v>
      </c>
      <c r="J8" s="37">
        <f>SUMIFS('Raw Data'!Q:Q,'Raw Data'!C:C,"2026-09")</f>
        <v>0</v>
      </c>
      <c r="K8" s="37">
        <f>SUMIFS('Raw Data'!Q:Q,'Raw Data'!C:C,"2026-10")</f>
        <v>0</v>
      </c>
      <c r="L8" s="37">
        <f>SUMIFS('Raw Data'!Q:Q,'Raw Data'!C:C,"2026-11")</f>
        <v>0</v>
      </c>
      <c r="M8" s="37">
        <f>SUMIFS('Raw Data'!Q:Q,'Raw Data'!C:C,"2026-12")</f>
        <v>0</v>
      </c>
    </row>
    <row r="9" spans="1:13" x14ac:dyDescent="0.35">
      <c r="A9" s="34" t="s">
        <v>20</v>
      </c>
      <c r="B9" s="35">
        <f t="shared" ref="B9:M9" si="0">IF(B8=0,"",B5/B8)</f>
        <v>28.378378378378379</v>
      </c>
      <c r="C9" s="35">
        <f t="shared" si="0"/>
        <v>28.87323943661972</v>
      </c>
      <c r="D9" s="35">
        <f t="shared" si="0"/>
        <v>28.70967741935484</v>
      </c>
      <c r="E9" s="35">
        <f t="shared" si="0"/>
        <v>28.75</v>
      </c>
      <c r="F9" s="35">
        <f t="shared" si="0"/>
        <v>28.797468354430379</v>
      </c>
      <c r="G9" s="35">
        <f t="shared" si="0"/>
        <v>28.484848484848484</v>
      </c>
      <c r="H9" s="36">
        <f t="shared" si="0"/>
        <v>27.957446808510639</v>
      </c>
      <c r="I9" s="35" t="str">
        <f t="shared" si="0"/>
        <v/>
      </c>
      <c r="J9" s="35" t="str">
        <f t="shared" si="0"/>
        <v/>
      </c>
      <c r="K9" s="35" t="str">
        <f t="shared" si="0"/>
        <v/>
      </c>
      <c r="L9" s="35" t="str">
        <f t="shared" si="0"/>
        <v/>
      </c>
      <c r="M9" s="35" t="str">
        <f t="shared" si="0"/>
        <v/>
      </c>
    </row>
    <row r="10" spans="1:13" x14ac:dyDescent="0.35">
      <c r="A10" s="34" t="s">
        <v>21</v>
      </c>
      <c r="B10" s="39">
        <f t="shared" ref="B10:M10" si="1">IF(B6=0,"",B7/B6*100)</f>
        <v>3.3513513513513513</v>
      </c>
      <c r="C10" s="39">
        <f t="shared" si="1"/>
        <v>3.3988764044943816</v>
      </c>
      <c r="D10" s="39">
        <f t="shared" si="1"/>
        <v>3.3333333333333335</v>
      </c>
      <c r="E10" s="39">
        <f t="shared" si="1"/>
        <v>3.308080808080808</v>
      </c>
      <c r="F10" s="39">
        <f t="shared" si="1"/>
        <v>3.293532338308458</v>
      </c>
      <c r="G10" s="39">
        <f t="shared" si="1"/>
        <v>3.3170731707317076</v>
      </c>
      <c r="H10" s="40">
        <f t="shared" si="1"/>
        <v>3.2657807308970095</v>
      </c>
      <c r="I10" s="39" t="str">
        <f t="shared" si="1"/>
        <v/>
      </c>
      <c r="J10" s="39" t="str">
        <f t="shared" si="1"/>
        <v/>
      </c>
      <c r="K10" s="39" t="str">
        <f t="shared" si="1"/>
        <v/>
      </c>
      <c r="L10" s="39" t="str">
        <f t="shared" si="1"/>
        <v/>
      </c>
      <c r="M10" s="39" t="str">
        <f t="shared" si="1"/>
        <v/>
      </c>
    </row>
    <row r="11" spans="1:13" x14ac:dyDescent="0.35">
      <c r="A11" s="34" t="s">
        <v>22</v>
      </c>
      <c r="B11" s="39">
        <f t="shared" ref="B11:M11" si="2">IF(B7=0,"",B8/B7*100)</f>
        <v>2.3870967741935485</v>
      </c>
      <c r="C11" s="39">
        <f t="shared" si="2"/>
        <v>2.3471074380165291</v>
      </c>
      <c r="D11" s="39">
        <f t="shared" si="2"/>
        <v>2.421875</v>
      </c>
      <c r="E11" s="39">
        <f t="shared" si="2"/>
        <v>2.4427480916030535</v>
      </c>
      <c r="F11" s="39">
        <f t="shared" si="2"/>
        <v>2.3867069486404833</v>
      </c>
      <c r="G11" s="39">
        <f t="shared" si="2"/>
        <v>2.4264705882352944</v>
      </c>
      <c r="H11" s="40">
        <f t="shared" si="2"/>
        <v>2.3906408952187186</v>
      </c>
      <c r="I11" s="39" t="str">
        <f t="shared" si="2"/>
        <v/>
      </c>
      <c r="J11" s="39" t="str">
        <f t="shared" si="2"/>
        <v/>
      </c>
      <c r="K11" s="39" t="str">
        <f t="shared" si="2"/>
        <v/>
      </c>
      <c r="L11" s="39" t="str">
        <f t="shared" si="2"/>
        <v/>
      </c>
      <c r="M11" s="39" t="str">
        <f t="shared" si="2"/>
        <v/>
      </c>
    </row>
    <row r="13" spans="1:13" x14ac:dyDescent="0.35">
      <c r="A13" s="44" t="s">
        <v>23</v>
      </c>
      <c r="B13" s="45"/>
      <c r="C13" s="45"/>
      <c r="D13" s="45"/>
      <c r="E13" s="45"/>
      <c r="F13" s="45"/>
      <c r="G13" s="45"/>
    </row>
    <row r="14" spans="1:13" ht="15.5" customHeight="1" x14ac:dyDescent="0.35">
      <c r="A14" s="7" t="s">
        <v>24</v>
      </c>
      <c r="B14" s="46" t="s">
        <v>10</v>
      </c>
      <c r="C14" s="76" t="s">
        <v>25</v>
      </c>
      <c r="D14" s="77"/>
      <c r="E14" s="77"/>
      <c r="F14" s="77"/>
      <c r="G14" s="45"/>
    </row>
    <row r="15" spans="1:13" ht="43.5" customHeight="1" x14ac:dyDescent="0.35">
      <c r="A15" s="6" t="s">
        <v>3</v>
      </c>
      <c r="B15" s="6" t="s">
        <v>26</v>
      </c>
      <c r="C15" s="6" t="s">
        <v>27</v>
      </c>
      <c r="D15" s="6" t="s">
        <v>28</v>
      </c>
      <c r="E15" s="45"/>
      <c r="F15" s="45"/>
      <c r="G15" s="45"/>
    </row>
    <row r="16" spans="1:13" x14ac:dyDescent="0.35">
      <c r="A16" s="41" t="s">
        <v>16</v>
      </c>
      <c r="B16" s="47">
        <f>IF($B$14="","",IF(MATCH($B$14,$B$4:$M$4,0)&lt;=1,0,SUM(B5:INDEX(B5:M5,MATCH($B$14,$B$4:$M$4,0)-1))))</f>
        <v>26600</v>
      </c>
      <c r="C16" s="48">
        <f>IF($B$14="","",SUM(INDEX(B5:M5,MATCH($B$14,$B$4:$M$4,0)):M5))</f>
        <v>6570</v>
      </c>
      <c r="D16" s="49">
        <f t="shared" ref="D16:D21" si="3">IF(OR(B16="",B16=0),"",(C16-B16)/B16)</f>
        <v>-0.75300751879699246</v>
      </c>
      <c r="E16" s="45"/>
      <c r="F16" s="45"/>
      <c r="G16" s="45"/>
    </row>
    <row r="17" spans="1:13" x14ac:dyDescent="0.35">
      <c r="A17" s="41" t="s">
        <v>18</v>
      </c>
      <c r="B17" s="50">
        <f>IF($B$14="","",IF(MATCH($B$14,$B$4:$M$4,0)&lt;=1,0,SUM(B7:INDEX(B7:M7,MATCH($B$14,$B$4:$M$4,0)-1))))</f>
        <v>38620</v>
      </c>
      <c r="C17" s="51">
        <f>IF($B$14="","",SUM(INDEX(B7:M7,MATCH($B$14,$B$4:$M$4,0)):M7))</f>
        <v>9830</v>
      </c>
      <c r="D17" s="49">
        <f t="shared" si="3"/>
        <v>-0.7454686690833765</v>
      </c>
      <c r="E17" s="45"/>
      <c r="F17" s="45"/>
      <c r="G17" s="45"/>
    </row>
    <row r="18" spans="1:13" x14ac:dyDescent="0.35">
      <c r="A18" s="41" t="s">
        <v>19</v>
      </c>
      <c r="B18" s="50">
        <f>IF($B$14="","",IF(MATCH($B$14,$B$4:$M$4,0)&lt;=1,0,SUM(B8:INDEX(B8:M8,MATCH($B$14,$B$4:$M$4,0)-1))))</f>
        <v>928</v>
      </c>
      <c r="C18" s="51">
        <f>IF($B$14="","",SUM(INDEX(B8:M8,MATCH($B$14,$B$4:$M$4,0)):M8))</f>
        <v>235</v>
      </c>
      <c r="D18" s="49">
        <f t="shared" si="3"/>
        <v>-0.74676724137931039</v>
      </c>
      <c r="E18" s="45"/>
      <c r="F18" s="45"/>
      <c r="G18" s="45"/>
    </row>
    <row r="19" spans="1:13" x14ac:dyDescent="0.35">
      <c r="A19" s="41" t="s">
        <v>29</v>
      </c>
      <c r="B19" s="47">
        <f>IF($B$14="","",IF(MATCH($B$14,$B$4:$M$4,0)&lt;=1,"",AVERAGE(B5:INDEX(B5:M5,MATCH($B$14,$B$4:$M$4,0)-1))))</f>
        <v>4433.333333333333</v>
      </c>
      <c r="C19" s="48">
        <f>IF($B$14="","",AVERAGE(INDEX(B5:M5,MATCH($B$14,$B$4:$M$4,0)):M5))</f>
        <v>1095</v>
      </c>
      <c r="D19" s="49">
        <f t="shared" si="3"/>
        <v>-0.75300751879699246</v>
      </c>
      <c r="E19" s="45"/>
      <c r="F19" s="45"/>
      <c r="G19" s="45"/>
    </row>
    <row r="20" spans="1:13" x14ac:dyDescent="0.35">
      <c r="A20" s="41" t="s">
        <v>30</v>
      </c>
      <c r="B20" s="47">
        <f>IF(OR(B16="",B18="",B18=0),"",B16/B18)</f>
        <v>28.663793103448278</v>
      </c>
      <c r="C20" s="48">
        <f>IF(OR(C16="",C18="",C18=0),"",C16/C18)</f>
        <v>27.957446808510639</v>
      </c>
      <c r="D20" s="49">
        <f t="shared" si="3"/>
        <v>-2.4642457206846942E-2</v>
      </c>
      <c r="E20" s="45"/>
      <c r="F20" s="45"/>
      <c r="G20" s="45"/>
    </row>
    <row r="21" spans="1:13" x14ac:dyDescent="0.35">
      <c r="A21" s="41" t="s">
        <v>31</v>
      </c>
      <c r="B21" s="52">
        <f>IF($B$14="","",IF(MATCH($B$14,$B$4:$M$4,0)&lt;=1,"",AVERAGE(B8:INDEX(B8:M8,MATCH($B$14,$B$4:$M$4,0)-1))))</f>
        <v>154.66666666666666</v>
      </c>
      <c r="C21" s="53">
        <f>IF($B$14="","",AVERAGE(INDEX(B8:M8,MATCH($B$14,$B$4:$M$4,0)):M8))</f>
        <v>39.166666666666664</v>
      </c>
      <c r="D21" s="49">
        <f t="shared" si="3"/>
        <v>-0.74676724137931039</v>
      </c>
      <c r="E21" s="45"/>
      <c r="F21" s="45"/>
      <c r="G21" s="45"/>
    </row>
    <row r="22" spans="1:13" x14ac:dyDescent="0.35">
      <c r="A22" s="76" t="s">
        <v>32</v>
      </c>
      <c r="B22" s="77"/>
      <c r="C22" s="77"/>
      <c r="D22" s="77"/>
      <c r="E22" s="45"/>
      <c r="F22" s="45"/>
      <c r="G22" s="45"/>
    </row>
    <row r="23" spans="1:13" x14ac:dyDescent="0.35">
      <c r="A23" s="3" t="s">
        <v>33</v>
      </c>
    </row>
    <row r="24" spans="1:13" x14ac:dyDescent="0.35">
      <c r="A24" s="6" t="s">
        <v>34</v>
      </c>
      <c r="B24" s="6" t="s">
        <v>4</v>
      </c>
      <c r="C24" s="6" t="s">
        <v>5</v>
      </c>
      <c r="D24" s="6" t="s">
        <v>6</v>
      </c>
      <c r="E24" s="6" t="s">
        <v>7</v>
      </c>
      <c r="F24" s="6" t="s">
        <v>8</v>
      </c>
      <c r="G24" s="6" t="s">
        <v>9</v>
      </c>
      <c r="H24" s="6" t="s">
        <v>10</v>
      </c>
      <c r="I24" s="6" t="s">
        <v>11</v>
      </c>
      <c r="J24" s="6" t="s">
        <v>12</v>
      </c>
      <c r="K24" s="6" t="s">
        <v>13</v>
      </c>
      <c r="L24" s="6" t="s">
        <v>14</v>
      </c>
      <c r="M24" s="6" t="s">
        <v>15</v>
      </c>
    </row>
    <row r="25" spans="1:13" x14ac:dyDescent="0.35">
      <c r="A25" s="41" t="s">
        <v>35</v>
      </c>
      <c r="B25" s="42">
        <f>COUNTIFS('Raw Data'!C:C,"2026-01",'Raw Data'!F:F,"Strategy")</f>
        <v>0</v>
      </c>
      <c r="C25" s="42">
        <f>COUNTIFS('Raw Data'!C:C,"2026-02",'Raw Data'!F:F,"Strategy")</f>
        <v>0</v>
      </c>
      <c r="D25" s="42">
        <f>COUNTIFS('Raw Data'!C:C,"2026-03",'Raw Data'!F:F,"Strategy")</f>
        <v>0</v>
      </c>
      <c r="E25" s="42">
        <f>COUNTIFS('Raw Data'!C:C,"2026-04",'Raw Data'!F:F,"Strategy")</f>
        <v>0</v>
      </c>
      <c r="F25" s="42">
        <f>COUNTIFS('Raw Data'!C:C,"2026-05",'Raw Data'!F:F,"Strategy")</f>
        <v>0</v>
      </c>
      <c r="G25" s="42">
        <f>COUNTIFS('Raw Data'!C:C,"2026-06",'Raw Data'!F:F,"Strategy")</f>
        <v>1</v>
      </c>
      <c r="H25" s="42">
        <f>COUNTIFS('Raw Data'!C:C,"2026-07",'Raw Data'!F:F,"Strategy")</f>
        <v>1</v>
      </c>
      <c r="I25" s="42">
        <f>COUNTIFS('Raw Data'!C:C,"2026-08",'Raw Data'!F:F,"Strategy")</f>
        <v>0</v>
      </c>
      <c r="J25" s="42">
        <f>COUNTIFS('Raw Data'!C:C,"2026-09",'Raw Data'!F:F,"Strategy")</f>
        <v>0</v>
      </c>
      <c r="K25" s="42">
        <f>COUNTIFS('Raw Data'!C:C,"2026-10",'Raw Data'!F:F,"Strategy")</f>
        <v>0</v>
      </c>
      <c r="L25" s="42">
        <f>COUNTIFS('Raw Data'!C:C,"2026-11",'Raw Data'!F:F,"Strategy")</f>
        <v>0</v>
      </c>
      <c r="M25" s="42">
        <f>COUNTIFS('Raw Data'!C:C,"2026-12",'Raw Data'!F:F,"Strategy")</f>
        <v>0</v>
      </c>
    </row>
    <row r="26" spans="1:13" x14ac:dyDescent="0.35">
      <c r="A26" s="41" t="s">
        <v>36</v>
      </c>
      <c r="B26" s="42">
        <f>COUNTIFS('Raw Data'!C:C,"2026-01",'Raw Data'!F:F,"Deployment")</f>
        <v>0</v>
      </c>
      <c r="C26" s="42">
        <f>COUNTIFS('Raw Data'!C:C,"2026-02",'Raw Data'!F:F,"Deployment")</f>
        <v>0</v>
      </c>
      <c r="D26" s="42">
        <f>COUNTIFS('Raw Data'!C:C,"2026-03",'Raw Data'!F:F,"Deployment")</f>
        <v>0</v>
      </c>
      <c r="E26" s="42">
        <f>COUNTIFS('Raw Data'!C:C,"2026-04",'Raw Data'!F:F,"Deployment")</f>
        <v>0</v>
      </c>
      <c r="F26" s="42">
        <f>COUNTIFS('Raw Data'!C:C,"2026-05",'Raw Data'!F:F,"Deployment")</f>
        <v>0</v>
      </c>
      <c r="G26" s="42">
        <f>COUNTIFS('Raw Data'!C:C,"2026-06",'Raw Data'!F:F,"Deployment")</f>
        <v>0</v>
      </c>
      <c r="H26" s="42">
        <f>COUNTIFS('Raw Data'!C:C,"2026-07",'Raw Data'!F:F,"Deployment")</f>
        <v>2</v>
      </c>
      <c r="I26" s="42">
        <f>COUNTIFS('Raw Data'!C:C,"2026-08",'Raw Data'!F:F,"Deployment")</f>
        <v>0</v>
      </c>
      <c r="J26" s="42">
        <f>COUNTIFS('Raw Data'!C:C,"2026-09",'Raw Data'!F:F,"Deployment")</f>
        <v>0</v>
      </c>
      <c r="K26" s="42">
        <f>COUNTIFS('Raw Data'!C:C,"2026-10",'Raw Data'!F:F,"Deployment")</f>
        <v>0</v>
      </c>
      <c r="L26" s="42">
        <f>COUNTIFS('Raw Data'!C:C,"2026-11",'Raw Data'!F:F,"Deployment")</f>
        <v>0</v>
      </c>
      <c r="M26" s="42">
        <f>COUNTIFS('Raw Data'!C:C,"2026-12",'Raw Data'!F:F,"Deployment")</f>
        <v>0</v>
      </c>
    </row>
    <row r="27" spans="1:13" x14ac:dyDescent="0.35">
      <c r="A27" s="41" t="s">
        <v>37</v>
      </c>
      <c r="B27" s="42">
        <f>COUNTIFS('Raw Data'!C:C,"2026-01",'Raw Data'!F:F,"Performance Recap")</f>
        <v>1</v>
      </c>
      <c r="C27" s="42">
        <f>COUNTIFS('Raw Data'!C:C,"2026-02",'Raw Data'!F:F,"Performance Recap")</f>
        <v>1</v>
      </c>
      <c r="D27" s="42">
        <f>COUNTIFS('Raw Data'!C:C,"2026-03",'Raw Data'!F:F,"Performance Recap")</f>
        <v>1</v>
      </c>
      <c r="E27" s="42">
        <f>COUNTIFS('Raw Data'!C:C,"2026-04",'Raw Data'!F:F,"Performance Recap")</f>
        <v>1</v>
      </c>
      <c r="F27" s="42">
        <f>COUNTIFS('Raw Data'!C:C,"2026-05",'Raw Data'!F:F,"Performance Recap")</f>
        <v>1</v>
      </c>
      <c r="G27" s="42">
        <f>COUNTIFS('Raw Data'!C:C,"2026-06",'Raw Data'!F:F,"Performance Recap")</f>
        <v>1</v>
      </c>
      <c r="H27" s="42">
        <f>COUNTIFS('Raw Data'!C:C,"2026-07",'Raw Data'!F:F,"Performance Recap")</f>
        <v>1</v>
      </c>
      <c r="I27" s="42">
        <f>COUNTIFS('Raw Data'!C:C,"2026-08",'Raw Data'!F:F,"Performance Recap")</f>
        <v>0</v>
      </c>
      <c r="J27" s="42">
        <f>COUNTIFS('Raw Data'!C:C,"2026-09",'Raw Data'!F:F,"Performance Recap")</f>
        <v>0</v>
      </c>
      <c r="K27" s="42">
        <f>COUNTIFS('Raw Data'!C:C,"2026-10",'Raw Data'!F:F,"Performance Recap")</f>
        <v>0</v>
      </c>
      <c r="L27" s="42">
        <f>COUNTIFS('Raw Data'!C:C,"2026-11",'Raw Data'!F:F,"Performance Recap")</f>
        <v>0</v>
      </c>
      <c r="M27" s="42">
        <f>COUNTIFS('Raw Data'!C:C,"2026-12",'Raw Data'!F:F,"Performance Recap")</f>
        <v>0</v>
      </c>
    </row>
  </sheetData>
  <mergeCells count="4">
    <mergeCell ref="A22:D22"/>
    <mergeCell ref="A2:M2"/>
    <mergeCell ref="C14:F14"/>
    <mergeCell ref="A1:M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Config!$E$4:$E$15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0"/>
  <sheetViews>
    <sheetView showGridLines="0" workbookViewId="0">
      <selection sqref="A1:M1"/>
    </sheetView>
  </sheetViews>
  <sheetFormatPr defaultRowHeight="14.5" x14ac:dyDescent="0.35"/>
  <cols>
    <col min="1" max="1" width="28" customWidth="1"/>
    <col min="2" max="3" width="16" customWidth="1"/>
    <col min="4" max="5" width="12" customWidth="1"/>
    <col min="6" max="6" width="10" customWidth="1"/>
    <col min="7" max="7" width="3" customWidth="1"/>
    <col min="8" max="8" width="20" customWidth="1"/>
    <col min="9" max="10" width="12" customWidth="1"/>
  </cols>
  <sheetData>
    <row r="1" spans="1:15" ht="21" customHeight="1" x14ac:dyDescent="0.5">
      <c r="A1" s="54" t="s">
        <v>56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x14ac:dyDescent="0.35">
      <c r="A2" s="76" t="s">
        <v>229</v>
      </c>
      <c r="B2" s="77"/>
      <c r="C2" s="77"/>
      <c r="D2" s="77"/>
      <c r="E2" s="77"/>
      <c r="F2" s="77"/>
      <c r="G2" s="45"/>
      <c r="H2" s="45"/>
      <c r="I2" s="45"/>
      <c r="J2" s="45"/>
      <c r="K2" s="45"/>
      <c r="L2" s="45"/>
      <c r="M2" s="45"/>
      <c r="N2" s="45"/>
      <c r="O2" s="45"/>
    </row>
    <row r="3" spans="1:15" x14ac:dyDescent="0.3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5" ht="15.5" customHeight="1" x14ac:dyDescent="0.35">
      <c r="A4" s="55" t="s">
        <v>230</v>
      </c>
      <c r="B4" s="56" t="e">
        <f>'[1]Monthly` Metrics'!B14</f>
        <v>#REF!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x14ac:dyDescent="0.35">
      <c r="A5" s="57"/>
      <c r="B5" s="57"/>
      <c r="C5" s="57"/>
      <c r="D5" s="57"/>
      <c r="E5" s="57"/>
      <c r="F5" s="57"/>
      <c r="G5" s="45"/>
      <c r="H5" s="57"/>
      <c r="I5" s="57"/>
      <c r="J5" s="57"/>
      <c r="K5" s="45"/>
      <c r="L5" s="45"/>
      <c r="M5" s="45"/>
      <c r="N5" s="45"/>
      <c r="O5" s="45"/>
    </row>
    <row r="6" spans="1:15" x14ac:dyDescent="0.35">
      <c r="A6" s="44" t="s">
        <v>231</v>
      </c>
      <c r="B6" s="45"/>
      <c r="C6" s="58"/>
      <c r="D6" s="59"/>
      <c r="E6" s="59"/>
      <c r="F6" s="60"/>
      <c r="G6" s="45"/>
      <c r="H6" s="45"/>
      <c r="I6" s="58"/>
      <c r="J6" s="59"/>
      <c r="K6" s="45"/>
      <c r="L6" s="45"/>
      <c r="M6" s="45"/>
      <c r="N6" s="45"/>
      <c r="O6" s="45"/>
    </row>
    <row r="7" spans="1:15" x14ac:dyDescent="0.35">
      <c r="A7" s="6" t="s">
        <v>3</v>
      </c>
      <c r="B7" s="6" t="s">
        <v>90</v>
      </c>
      <c r="C7" s="61" t="s">
        <v>94</v>
      </c>
      <c r="D7" s="62" t="s">
        <v>28</v>
      </c>
      <c r="E7" s="59"/>
      <c r="F7" s="60"/>
      <c r="G7" s="45"/>
      <c r="H7" s="45"/>
      <c r="I7" s="58"/>
      <c r="J7" s="59"/>
      <c r="K7" s="45"/>
      <c r="L7" s="45"/>
      <c r="M7" s="45"/>
      <c r="N7" s="45"/>
      <c r="O7" s="45"/>
    </row>
    <row r="8" spans="1:15" x14ac:dyDescent="0.35">
      <c r="A8" s="63" t="str">
        <f>'Monthly Metrics'!A16</f>
        <v>Spend</v>
      </c>
      <c r="B8" s="47">
        <f>'Monthly Metrics'!B16</f>
        <v>26600</v>
      </c>
      <c r="C8" s="48">
        <f>'Monthly Metrics'!C16</f>
        <v>6570</v>
      </c>
      <c r="D8" s="49">
        <f>'Monthly Metrics'!D16</f>
        <v>-0.75300751879699246</v>
      </c>
      <c r="E8" s="59"/>
      <c r="F8" s="60"/>
      <c r="G8" s="45"/>
      <c r="H8" s="45"/>
      <c r="I8" s="45"/>
      <c r="J8" s="45"/>
      <c r="K8" s="45"/>
      <c r="L8" s="45"/>
      <c r="M8" s="45"/>
      <c r="N8" s="45"/>
      <c r="O8" s="45"/>
    </row>
    <row r="9" spans="1:15" x14ac:dyDescent="0.35">
      <c r="A9" s="63" t="str">
        <f>'Monthly Metrics'!A17</f>
        <v>Clicks</v>
      </c>
      <c r="B9" s="50">
        <f>'Monthly Metrics'!B17</f>
        <v>38620</v>
      </c>
      <c r="C9" s="51">
        <f>'Monthly Metrics'!C17</f>
        <v>9830</v>
      </c>
      <c r="D9" s="49">
        <f>'Monthly Metrics'!D17</f>
        <v>-0.7454686690833765</v>
      </c>
      <c r="E9" s="59"/>
      <c r="F9" s="60"/>
      <c r="G9" s="45"/>
      <c r="H9" s="45"/>
      <c r="I9" s="45"/>
      <c r="J9" s="45"/>
      <c r="K9" s="45"/>
      <c r="L9" s="45"/>
      <c r="M9" s="45"/>
      <c r="N9" s="45"/>
      <c r="O9" s="45"/>
    </row>
    <row r="10" spans="1:15" x14ac:dyDescent="0.35">
      <c r="A10" s="63" t="str">
        <f>'Monthly Metrics'!A18</f>
        <v>Conversions</v>
      </c>
      <c r="B10" s="50">
        <f>'Monthly Metrics'!B18</f>
        <v>928</v>
      </c>
      <c r="C10" s="51">
        <f>'Monthly Metrics'!C18</f>
        <v>235</v>
      </c>
      <c r="D10" s="49">
        <f>'Monthly Metrics'!D18</f>
        <v>-0.74676724137931039</v>
      </c>
      <c r="E10" s="59"/>
      <c r="F10" s="60"/>
      <c r="G10" s="45"/>
      <c r="H10" s="45"/>
      <c r="I10" s="45"/>
      <c r="J10" s="45"/>
      <c r="K10" s="45"/>
      <c r="L10" s="45"/>
      <c r="M10" s="45"/>
      <c r="N10" s="45"/>
      <c r="O10" s="45"/>
    </row>
    <row r="11" spans="1:15" x14ac:dyDescent="0.35">
      <c r="A11" s="63" t="str">
        <f>'Monthly Metrics'!A19</f>
        <v>Avg monthly spend</v>
      </c>
      <c r="B11" s="47">
        <f>'Monthly Metrics'!B19</f>
        <v>4433.333333333333</v>
      </c>
      <c r="C11" s="48">
        <f>'Monthly Metrics'!C19</f>
        <v>1095</v>
      </c>
      <c r="D11" s="49">
        <f>'Monthly Metrics'!D19</f>
        <v>-0.75300751879699246</v>
      </c>
      <c r="E11" s="59"/>
      <c r="F11" s="60"/>
      <c r="G11" s="45"/>
      <c r="H11" s="45"/>
      <c r="I11" s="58"/>
      <c r="J11" s="45"/>
      <c r="K11" s="45"/>
      <c r="L11" s="45"/>
      <c r="M11" s="45"/>
      <c r="N11" s="45"/>
      <c r="O11" s="45"/>
    </row>
    <row r="12" spans="1:15" x14ac:dyDescent="0.35">
      <c r="A12" s="63" t="str">
        <f>'Monthly Metrics'!A20</f>
        <v>CPA (total)</v>
      </c>
      <c r="B12" s="47">
        <f>'Monthly Metrics'!B20</f>
        <v>28.663793103448278</v>
      </c>
      <c r="C12" s="48">
        <f>'Monthly Metrics'!C20</f>
        <v>27.957446808510639</v>
      </c>
      <c r="D12" s="49">
        <f>'Monthly Metrics'!D20</f>
        <v>-2.4642457206846942E-2</v>
      </c>
      <c r="E12" s="59"/>
      <c r="F12" s="60"/>
      <c r="G12" s="45"/>
      <c r="H12" s="45"/>
      <c r="I12" s="58"/>
      <c r="J12" s="45"/>
      <c r="K12" s="45"/>
      <c r="L12" s="45"/>
      <c r="M12" s="45"/>
      <c r="N12" s="45"/>
      <c r="O12" s="45"/>
    </row>
    <row r="13" spans="1:15" x14ac:dyDescent="0.35">
      <c r="A13" s="63" t="str">
        <f>'Monthly Metrics'!A21</f>
        <v>Avg monthly conversions</v>
      </c>
      <c r="B13" s="52">
        <f>'Monthly Metrics'!B21</f>
        <v>154.66666666666666</v>
      </c>
      <c r="C13" s="53">
        <f>'Monthly Metrics'!C21</f>
        <v>39.166666666666664</v>
      </c>
      <c r="D13" s="49">
        <f>'Monthly Metrics'!D21</f>
        <v>-0.74676724137931039</v>
      </c>
      <c r="E13" s="59"/>
      <c r="F13" s="60"/>
      <c r="G13" s="45"/>
      <c r="H13" s="45"/>
      <c r="I13" s="58"/>
      <c r="J13" s="45"/>
      <c r="K13" s="45"/>
      <c r="L13" s="45"/>
      <c r="M13" s="45"/>
      <c r="N13" s="45"/>
      <c r="O13" s="45"/>
    </row>
    <row r="14" spans="1:15" x14ac:dyDescent="0.35">
      <c r="A14" s="45"/>
      <c r="B14" s="45"/>
      <c r="C14" s="58"/>
      <c r="D14" s="59"/>
      <c r="E14" s="59"/>
      <c r="F14" s="60"/>
      <c r="G14" s="45"/>
      <c r="H14" s="45"/>
      <c r="I14" s="45"/>
      <c r="J14" s="45"/>
      <c r="K14" s="45"/>
      <c r="L14" s="45"/>
      <c r="M14" s="45"/>
      <c r="N14" s="45"/>
      <c r="O14" s="45"/>
    </row>
    <row r="15" spans="1:15" x14ac:dyDescent="0.35">
      <c r="A15" s="76" t="s">
        <v>232</v>
      </c>
      <c r="B15" s="77"/>
      <c r="C15" s="77"/>
      <c r="D15" s="77"/>
      <c r="E15" s="59"/>
      <c r="F15" s="60"/>
      <c r="G15" s="45"/>
      <c r="H15" s="45"/>
      <c r="I15" s="45"/>
      <c r="J15" s="45"/>
      <c r="K15" s="45"/>
      <c r="L15" s="45"/>
      <c r="M15" s="45"/>
      <c r="N15" s="45"/>
      <c r="O15" s="45"/>
    </row>
    <row r="16" spans="1:15" x14ac:dyDescent="0.35">
      <c r="A16" s="45"/>
      <c r="B16" s="45"/>
      <c r="C16" s="58"/>
      <c r="D16" s="59"/>
      <c r="E16" s="59"/>
      <c r="F16" s="60"/>
      <c r="G16" s="45"/>
      <c r="H16" s="45"/>
      <c r="I16" s="45"/>
      <c r="J16" s="45"/>
      <c r="K16" s="45"/>
      <c r="L16" s="45"/>
      <c r="M16" s="45"/>
      <c r="N16" s="45"/>
      <c r="O16" s="45"/>
    </row>
    <row r="17" spans="1:15" x14ac:dyDescent="0.35">
      <c r="A17" s="45"/>
      <c r="B17" s="45"/>
      <c r="C17" s="58"/>
      <c r="D17" s="59"/>
      <c r="E17" s="59"/>
      <c r="F17" s="60"/>
      <c r="G17" s="45"/>
      <c r="H17" s="45"/>
      <c r="I17" s="60"/>
      <c r="J17" s="45"/>
      <c r="K17" s="45"/>
      <c r="L17" s="45"/>
      <c r="M17" s="45"/>
      <c r="N17" s="45"/>
      <c r="O17" s="45"/>
    </row>
    <row r="18" spans="1:15" x14ac:dyDescent="0.35">
      <c r="A18" s="45"/>
      <c r="B18" s="45"/>
      <c r="C18" s="45"/>
      <c r="D18" s="45"/>
      <c r="E18" s="45"/>
      <c r="F18" s="45"/>
      <c r="G18" s="45"/>
      <c r="H18" s="45"/>
      <c r="I18" s="60"/>
      <c r="J18" s="45"/>
      <c r="K18" s="45"/>
      <c r="L18" s="45"/>
      <c r="M18" s="45"/>
      <c r="N18" s="45"/>
      <c r="O18" s="45"/>
    </row>
    <row r="19" spans="1:15" x14ac:dyDescent="0.3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</row>
    <row r="20" spans="1:15" x14ac:dyDescent="0.3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</row>
    <row r="21" spans="1:15" x14ac:dyDescent="0.3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</row>
    <row r="22" spans="1:15" x14ac:dyDescent="0.3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</row>
    <row r="23" spans="1:15" x14ac:dyDescent="0.3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</row>
    <row r="24" spans="1:15" x14ac:dyDescent="0.3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</row>
    <row r="25" spans="1:15" x14ac:dyDescent="0.3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</row>
    <row r="26" spans="1:15" x14ac:dyDescent="0.3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</row>
    <row r="27" spans="1:15" x14ac:dyDescent="0.3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</row>
    <row r="28" spans="1:15" x14ac:dyDescent="0.3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</row>
    <row r="29" spans="1:15" x14ac:dyDescent="0.3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</row>
    <row r="30" spans="1:15" x14ac:dyDescent="0.3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</row>
    <row r="31" spans="1:15" x14ac:dyDescent="0.3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</row>
    <row r="32" spans="1:15" x14ac:dyDescent="0.3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</row>
    <row r="33" spans="1:15" x14ac:dyDescent="0.3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</row>
    <row r="34" spans="1:15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</row>
    <row r="35" spans="1:15" x14ac:dyDescent="0.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</row>
    <row r="36" spans="1:15" x14ac:dyDescent="0.3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</row>
    <row r="37" spans="1:15" x14ac:dyDescent="0.3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</row>
    <row r="38" spans="1:15" x14ac:dyDescent="0.3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</row>
    <row r="39" spans="1:15" x14ac:dyDescent="0.3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</row>
    <row r="40" spans="1:15" x14ac:dyDescent="0.3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</row>
    <row r="41" spans="1:15" x14ac:dyDescent="0.3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</row>
    <row r="42" spans="1:15" x14ac:dyDescent="0.3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</row>
    <row r="43" spans="1:15" x14ac:dyDescent="0.3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</row>
    <row r="44" spans="1:15" x14ac:dyDescent="0.3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</row>
    <row r="45" spans="1:15" x14ac:dyDescent="0.3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</row>
    <row r="46" spans="1:15" x14ac:dyDescent="0.3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</row>
    <row r="47" spans="1:15" x14ac:dyDescent="0.3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</row>
    <row r="48" spans="1:15" x14ac:dyDescent="0.3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</row>
    <row r="49" spans="1:15" x14ac:dyDescent="0.3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</row>
    <row r="50" spans="1:15" x14ac:dyDescent="0.3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</row>
    <row r="51" spans="1:15" x14ac:dyDescent="0.3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</row>
    <row r="52" spans="1:15" x14ac:dyDescent="0.3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</row>
    <row r="53" spans="1:15" x14ac:dyDescent="0.3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</row>
    <row r="54" spans="1:15" x14ac:dyDescent="0.3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</row>
    <row r="55" spans="1:15" x14ac:dyDescent="0.3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</row>
    <row r="56" spans="1:15" x14ac:dyDescent="0.3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</row>
    <row r="57" spans="1:15" x14ac:dyDescent="0.3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</row>
    <row r="58" spans="1:15" x14ac:dyDescent="0.3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</row>
    <row r="59" spans="1:15" x14ac:dyDescent="0.3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</row>
    <row r="60" spans="1:15" x14ac:dyDescent="0.3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</row>
    <row r="61" spans="1:15" x14ac:dyDescent="0.3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</row>
    <row r="62" spans="1:15" x14ac:dyDescent="0.3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</row>
    <row r="63" spans="1:15" x14ac:dyDescent="0.3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</row>
    <row r="64" spans="1:15" x14ac:dyDescent="0.3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</row>
    <row r="65" spans="1:15" x14ac:dyDescent="0.3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</row>
    <row r="66" spans="1:15" x14ac:dyDescent="0.3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</row>
    <row r="67" spans="1:15" x14ac:dyDescent="0.3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</row>
    <row r="68" spans="1:15" x14ac:dyDescent="0.3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</row>
    <row r="69" spans="1:15" x14ac:dyDescent="0.3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</row>
    <row r="70" spans="1:15" x14ac:dyDescent="0.3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</row>
    <row r="71" spans="1:15" x14ac:dyDescent="0.3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</row>
    <row r="72" spans="1:15" x14ac:dyDescent="0.3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</row>
    <row r="73" spans="1:15" x14ac:dyDescent="0.3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</row>
    <row r="74" spans="1:15" x14ac:dyDescent="0.3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</row>
    <row r="75" spans="1:15" x14ac:dyDescent="0.3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</row>
    <row r="76" spans="1:15" x14ac:dyDescent="0.3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</row>
    <row r="77" spans="1:15" x14ac:dyDescent="0.3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</row>
    <row r="78" spans="1:15" x14ac:dyDescent="0.3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</row>
    <row r="79" spans="1:15" x14ac:dyDescent="0.3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x14ac:dyDescent="0.3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</row>
  </sheetData>
  <mergeCells count="2">
    <mergeCell ref="A2:F2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How to Use</vt:lpstr>
      <vt:lpstr>Config</vt:lpstr>
      <vt:lpstr>Date Mapping</vt:lpstr>
      <vt:lpstr>Campaign Mapping</vt:lpstr>
      <vt:lpstr>Monthly Overview</vt:lpstr>
      <vt:lpstr>Raw Data</vt:lpstr>
      <vt:lpstr>Monthly Metrics</vt:lpstr>
      <vt:lpstr>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s</cp:lastModifiedBy>
  <dcterms:created xsi:type="dcterms:W3CDTF">2026-07-27T18:14:09Z</dcterms:created>
  <dcterms:modified xsi:type="dcterms:W3CDTF">2026-07-27T19:30:11Z</dcterms:modified>
</cp:coreProperties>
</file>